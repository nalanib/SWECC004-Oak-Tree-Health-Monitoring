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tions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Summary by Treatment" sheetId="4" state="visible" r:id="rId4"/>
    <sheet xmlns:r="http://schemas.openxmlformats.org/officeDocument/2006/relationships" name="Summary by Tree" sheetId="5" state="visible" r:id="rId5"/>
    <sheet xmlns:r="http://schemas.openxmlformats.org/officeDocument/2006/relationships" name="Graph Description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  <color rgb="00C00000"/>
    </font>
    <font>
      <b val="1"/>
      <color rgb="009B59B6"/>
    </font>
    <font>
      <b val="1"/>
      <color rgb="00003366"/>
    </font>
    <font>
      <b val="1"/>
      <color rgb="00FFFFFF"/>
      <sz val="11"/>
    </font>
    <font>
      <i val="1"/>
      <color rgb="00666666"/>
      <sz val="10"/>
    </font>
    <font>
      <b val="1"/>
      <color rgb="00FFFFFF"/>
      <sz val="10"/>
    </font>
    <font>
      <b val="1"/>
    </font>
    <font>
      <b val="1"/>
      <color rgb="00FFFFFF"/>
    </font>
    <font>
      <name val="Courier New"/>
      <sz val="10"/>
    </font>
    <font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E8D5F0"/>
        <bgColor rgb="00E8D5F0"/>
      </patternFill>
    </fill>
    <fill>
      <patternFill patternType="solid">
        <fgColor rgb="00DAEEF3"/>
        <bgColor rgb="00DAEEF3"/>
      </patternFill>
    </fill>
    <fill>
      <patternFill patternType="solid">
        <fgColor rgb="00F79646"/>
        <bgColor rgb="00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7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0" borderId="0" pivotButton="0" quotePrefix="0" xfId="0"/>
    <xf numFmtId="0" fontId="9" fillId="3" borderId="0" pivotButton="0" quotePrefix="0" xfId="0"/>
    <xf numFmtId="164" fontId="0" fillId="0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0" pivotButton="0" quotePrefix="0" xfId="0"/>
    <xf numFmtId="0" fontId="10" fillId="5" borderId="0" pivotButton="0" quotePrefix="0" xfId="0"/>
    <xf numFmtId="164" fontId="3" fillId="10" borderId="0" pivotButton="0" quotePrefix="0" xfId="0"/>
    <xf numFmtId="0" fontId="10" fillId="6" borderId="0" pivotButton="0" quotePrefix="0" xfId="0"/>
    <xf numFmtId="0" fontId="10" fillId="7" borderId="0" pivotButton="0" quotePrefix="0" xfId="0"/>
    <xf numFmtId="0" fontId="7" fillId="11" borderId="0" pivotButton="0" quotePrefix="0" xfId="0"/>
    <xf numFmtId="0" fontId="11" fillId="3" borderId="0" pivotButton="0" quotePrefix="0" xfId="0"/>
    <xf numFmtId="0" fontId="10" fillId="0" borderId="0" pivotButton="0" quotePrefix="0" xfId="0"/>
    <xf numFmtId="0" fontId="12" fillId="0" borderId="0" pivotButton="0" quotePrefix="0" xfId="0"/>
    <xf numFmtId="164" fontId="10" fillId="10" borderId="0" pivotButton="0" quotePrefix="0" xfId="0"/>
    <xf numFmtId="0" fontId="1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5" customWidth="1" min="1" max="1"/>
    <col width="20" customWidth="1" min="2" max="2"/>
  </cols>
  <sheetData>
    <row r="1">
      <c r="A1" s="1" t="inlineStr">
        <is>
          <t>LICHTENTHALER &amp; WELBURN (1983) CHLOROPHYLL EQUATIONS</t>
        </is>
      </c>
    </row>
    <row r="3">
      <c r="A3" t="inlineStr">
        <is>
          <t>Extraction Method:</t>
        </is>
      </c>
      <c r="B3" t="inlineStr">
        <is>
          <t>80% Acetone (v/v)</t>
        </is>
      </c>
    </row>
    <row r="4">
      <c r="A4" t="inlineStr">
        <is>
          <t>Wavelengths:</t>
        </is>
      </c>
      <c r="B4" t="inlineStr">
        <is>
          <t>A645 nm and A663 nm</t>
        </is>
      </c>
    </row>
    <row r="5">
      <c r="A5" t="inlineStr">
        <is>
          <t>Reference:</t>
        </is>
      </c>
      <c r="B5" t="inlineStr">
        <is>
          <t>Lichtenthaler &amp; Welburn (1983). Biochem. Soc. Trans. 11(5), 591-592</t>
        </is>
      </c>
    </row>
    <row r="7">
      <c r="A7" s="2" t="inlineStr">
        <is>
          <t>EQUATIONS:</t>
        </is>
      </c>
    </row>
    <row r="8">
      <c r="A8" s="3" t="inlineStr">
        <is>
          <t>Chl a (μg/mL) = 12.21 × A663 - 2.81 × A645</t>
        </is>
      </c>
    </row>
    <row r="9">
      <c r="A9" s="3" t="inlineStr">
        <is>
          <t>Chl b (μg/mL) = 20.13 × A645 - 5.03 × A663</t>
        </is>
      </c>
    </row>
    <row r="10">
      <c r="A10" s="3" t="inlineStr">
        <is>
          <t>Total Chl (μg/mL) = 17.76 × A645 + 7.43 × A663</t>
        </is>
      </c>
    </row>
    <row r="12">
      <c r="A12" s="2" t="inlineStr">
        <is>
          <t>EXAMPLE - T1 L1 N-T</t>
        </is>
      </c>
    </row>
    <row r="13">
      <c r="A13" t="inlineStr">
        <is>
          <t>A645 =</t>
        </is>
      </c>
      <c r="B13" t="n">
        <v>0.407</v>
      </c>
    </row>
    <row r="14">
      <c r="A14" t="inlineStr">
        <is>
          <t>A663 =</t>
        </is>
      </c>
      <c r="B14" t="n">
        <v>0.213</v>
      </c>
    </row>
    <row r="16">
      <c r="A16" s="4" t="inlineStr">
        <is>
          <t>Chl a = 12.21 × 0.213 - 2.81 × 0.407 = 2.601 - 1.144 = 1.457 μg/mL</t>
        </is>
      </c>
    </row>
    <row r="17">
      <c r="A17" s="5" t="inlineStr">
        <is>
          <t>Chl b = 20.13 × 0.407 - 5.03 × 0.213 = 8.193 - 1.071 = 7.122 μg/mL</t>
        </is>
      </c>
    </row>
    <row r="18">
      <c r="A18" s="6" t="inlineStr">
        <is>
          <t>Total = 17.76 × 0.407 + 7.43 × 0.213 = 7.232 + 1.582 = 8.814 μg/mL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</cols>
  <sheetData>
    <row r="1">
      <c r="A1" s="7" t="inlineStr">
        <is>
          <t>RAW SPECTROPHOTOMETER READINGS - 80% ACETONE EXTRACTS (sorted by tree)</t>
        </is>
      </c>
    </row>
    <row r="2">
      <c r="A2" s="8" t="inlineStr">
        <is>
          <t>Sample</t>
        </is>
      </c>
      <c r="B2" s="8" t="inlineStr">
        <is>
          <t>Tree</t>
        </is>
      </c>
      <c r="C2" s="8" t="inlineStr">
        <is>
          <t>A645 (nm)</t>
        </is>
      </c>
      <c r="D2" s="8" t="inlineStr">
        <is>
          <t>A663 (nm)</t>
        </is>
      </c>
    </row>
    <row r="3">
      <c r="A3" s="9" t="inlineStr">
        <is>
          <t>T1 L1 E-B</t>
        </is>
      </c>
      <c r="B3" s="9" t="inlineStr">
        <is>
          <t>T1</t>
        </is>
      </c>
      <c r="C3" s="9" t="n">
        <v>0.476</v>
      </c>
      <c r="D3" s="9" t="n">
        <v>0.184</v>
      </c>
    </row>
    <row r="4">
      <c r="A4" s="9" t="inlineStr">
        <is>
          <t>T1 L1 E-T</t>
        </is>
      </c>
      <c r="B4" s="9" t="inlineStr">
        <is>
          <t>T1</t>
        </is>
      </c>
      <c r="C4" s="9" t="n">
        <v>0.389</v>
      </c>
      <c r="D4" s="9" t="n">
        <v>0.154</v>
      </c>
    </row>
    <row r="5">
      <c r="A5" s="9" t="inlineStr">
        <is>
          <t>T1 L1 N-B</t>
        </is>
      </c>
      <c r="B5" s="9" t="inlineStr">
        <is>
          <t>T1</t>
        </is>
      </c>
      <c r="C5" s="9" t="n">
        <v>0.337</v>
      </c>
      <c r="D5" s="9" t="n">
        <v>0.155</v>
      </c>
    </row>
    <row r="6">
      <c r="A6" s="9" t="inlineStr">
        <is>
          <t>T1 L1 N-T</t>
        </is>
      </c>
      <c r="B6" s="9" t="inlineStr">
        <is>
          <t>T1</t>
        </is>
      </c>
      <c r="C6" s="9" t="n">
        <v>0.407</v>
      </c>
      <c r="D6" s="9" t="n">
        <v>0.213</v>
      </c>
    </row>
    <row r="7">
      <c r="A7" s="9" t="inlineStr">
        <is>
          <t>T1 L1 S-B</t>
        </is>
      </c>
      <c r="B7" s="9" t="inlineStr">
        <is>
          <t>T1</t>
        </is>
      </c>
      <c r="C7" s="9" t="n">
        <v>0.318</v>
      </c>
      <c r="D7" s="9" t="n">
        <v>0.131</v>
      </c>
    </row>
    <row r="8">
      <c r="A8" s="9" t="inlineStr">
        <is>
          <t>T1 L1 S-T</t>
        </is>
      </c>
      <c r="B8" s="9" t="inlineStr">
        <is>
          <t>T1</t>
        </is>
      </c>
      <c r="C8" s="9" t="n">
        <v>0.413</v>
      </c>
      <c r="D8" s="9" t="n">
        <v>0.167</v>
      </c>
    </row>
    <row r="9">
      <c r="A9" s="9" t="inlineStr">
        <is>
          <t>T1 L1 W-B</t>
        </is>
      </c>
      <c r="B9" s="9" t="inlineStr">
        <is>
          <t>T1</t>
        </is>
      </c>
      <c r="C9" s="9" t="n">
        <v>0.411</v>
      </c>
      <c r="D9" s="9" t="n">
        <v>0.158</v>
      </c>
    </row>
    <row r="10">
      <c r="A10" s="9" t="inlineStr">
        <is>
          <t>T1 L1 W-T</t>
        </is>
      </c>
      <c r="B10" s="9" t="inlineStr">
        <is>
          <t>T1</t>
        </is>
      </c>
      <c r="C10" s="9" t="n">
        <v>0.273</v>
      </c>
      <c r="D10" s="9" t="n">
        <v>0.107</v>
      </c>
    </row>
    <row r="11">
      <c r="A11" s="9" t="inlineStr">
        <is>
          <t>T1 L2 E-B</t>
        </is>
      </c>
      <c r="B11" s="9" t="inlineStr">
        <is>
          <t>T1</t>
        </is>
      </c>
      <c r="C11" s="9" t="n">
        <v>0.458</v>
      </c>
      <c r="D11" s="9" t="n">
        <v>0.185</v>
      </c>
    </row>
    <row r="12">
      <c r="A12" s="9" t="inlineStr">
        <is>
          <t>T1 L2 E-T</t>
        </is>
      </c>
      <c r="B12" s="9" t="inlineStr">
        <is>
          <t>T1</t>
        </is>
      </c>
      <c r="C12" s="9" t="n">
        <v>0.418</v>
      </c>
      <c r="D12" s="9" t="n">
        <v>0.164</v>
      </c>
    </row>
    <row r="13">
      <c r="A13" s="9" t="inlineStr">
        <is>
          <t>T1 L2 N-B</t>
        </is>
      </c>
      <c r="B13" s="9" t="inlineStr">
        <is>
          <t>T1</t>
        </is>
      </c>
      <c r="C13" s="9" t="n">
        <v>0.452</v>
      </c>
      <c r="D13" s="9" t="n">
        <v>0.191</v>
      </c>
    </row>
    <row r="14">
      <c r="A14" s="9" t="inlineStr">
        <is>
          <t>T1 L2 N-T</t>
        </is>
      </c>
      <c r="B14" s="9" t="inlineStr">
        <is>
          <t>T1</t>
        </is>
      </c>
      <c r="C14" s="9" t="n">
        <v>0.367</v>
      </c>
      <c r="D14" s="9" t="n">
        <v>0.143</v>
      </c>
    </row>
    <row r="15">
      <c r="A15" s="9" t="inlineStr">
        <is>
          <t>T1 L2 S-B</t>
        </is>
      </c>
      <c r="B15" s="9" t="inlineStr">
        <is>
          <t>T1</t>
        </is>
      </c>
      <c r="C15" s="9" t="n">
        <v>0.491</v>
      </c>
      <c r="D15" s="9" t="n">
        <v>0.216</v>
      </c>
    </row>
    <row r="16">
      <c r="A16" s="9" t="inlineStr">
        <is>
          <t>T1 L2 S-T</t>
        </is>
      </c>
      <c r="B16" s="9" t="inlineStr">
        <is>
          <t>T1</t>
        </is>
      </c>
      <c r="C16" s="9" t="n">
        <v>0.469</v>
      </c>
      <c r="D16" s="9" t="n">
        <v>0.188</v>
      </c>
    </row>
    <row r="17">
      <c r="A17" s="9" t="inlineStr">
        <is>
          <t>T1 L2 W-B</t>
        </is>
      </c>
      <c r="B17" s="9" t="inlineStr">
        <is>
          <t>T1</t>
        </is>
      </c>
      <c r="C17" s="9" t="n">
        <v>0.528</v>
      </c>
      <c r="D17" s="9" t="n">
        <v>0.201</v>
      </c>
    </row>
    <row r="18">
      <c r="A18" s="9" t="inlineStr">
        <is>
          <t>T1 L2 W-T</t>
        </is>
      </c>
      <c r="B18" s="9" t="inlineStr">
        <is>
          <t>T1</t>
        </is>
      </c>
      <c r="C18" s="9" t="n">
        <v>0.438</v>
      </c>
      <c r="D18" s="9" t="n">
        <v>0.169</v>
      </c>
    </row>
    <row r="19">
      <c r="A19" s="9" t="inlineStr">
        <is>
          <t>T1 L3 E-B</t>
        </is>
      </c>
      <c r="B19" s="9" t="inlineStr">
        <is>
          <t>T1</t>
        </is>
      </c>
      <c r="C19" s="9" t="n">
        <v>0.517</v>
      </c>
      <c r="D19" s="9" t="n">
        <v>0.216</v>
      </c>
    </row>
    <row r="20">
      <c r="A20" s="9" t="inlineStr">
        <is>
          <t>T1 L3 E-T</t>
        </is>
      </c>
      <c r="B20" s="9" t="inlineStr">
        <is>
          <t>T1</t>
        </is>
      </c>
      <c r="C20" s="9" t="n">
        <v>0.455</v>
      </c>
      <c r="D20" s="9" t="n">
        <v>0.173</v>
      </c>
    </row>
    <row r="21">
      <c r="A21" s="9" t="inlineStr">
        <is>
          <t>T1 L3 N-B</t>
        </is>
      </c>
      <c r="B21" s="9" t="inlineStr">
        <is>
          <t>T1</t>
        </is>
      </c>
      <c r="C21" s="9" t="n">
        <v>0.368</v>
      </c>
      <c r="D21" s="9" t="n">
        <v>0.162</v>
      </c>
    </row>
    <row r="22">
      <c r="A22" s="9" t="inlineStr">
        <is>
          <t>T1 L3 N-T</t>
        </is>
      </c>
      <c r="B22" s="9" t="inlineStr">
        <is>
          <t>T1</t>
        </is>
      </c>
      <c r="C22" s="9" t="n">
        <v>0.295</v>
      </c>
      <c r="D22" s="9" t="n">
        <v>0.166</v>
      </c>
    </row>
    <row r="23">
      <c r="A23" s="9" t="inlineStr">
        <is>
          <t>T1 L3 S-B</t>
        </is>
      </c>
      <c r="B23" s="9" t="inlineStr">
        <is>
          <t>T1</t>
        </is>
      </c>
      <c r="C23" s="9" t="n">
        <v>0.506</v>
      </c>
      <c r="D23" s="9" t="n">
        <v>0.205</v>
      </c>
    </row>
    <row r="24">
      <c r="A24" s="9" t="inlineStr">
        <is>
          <t>T1 L3 S-T</t>
        </is>
      </c>
      <c r="B24" s="9" t="inlineStr">
        <is>
          <t>T1</t>
        </is>
      </c>
      <c r="C24" s="9" t="n">
        <v>0.569</v>
      </c>
      <c r="D24" s="9" t="n">
        <v>0.213</v>
      </c>
    </row>
    <row r="25">
      <c r="A25" s="9" t="inlineStr">
        <is>
          <t>T1 L3 W-B</t>
        </is>
      </c>
      <c r="B25" s="9" t="inlineStr">
        <is>
          <t>T1</t>
        </is>
      </c>
      <c r="C25" s="9" t="n">
        <v>0.517</v>
      </c>
      <c r="D25" s="9" t="n">
        <v>0.2</v>
      </c>
    </row>
    <row r="26">
      <c r="A26" s="9" t="inlineStr">
        <is>
          <t>T1 L3 W-T</t>
        </is>
      </c>
      <c r="B26" s="9" t="inlineStr">
        <is>
          <t>T1</t>
        </is>
      </c>
      <c r="C26" s="9" t="n">
        <v>0.341</v>
      </c>
      <c r="D26" s="9" t="n">
        <v>0.127</v>
      </c>
    </row>
    <row r="27">
      <c r="A27" s="9" t="inlineStr">
        <is>
          <t>T2 L1 E-B</t>
        </is>
      </c>
      <c r="B27" s="9" t="inlineStr">
        <is>
          <t>T2</t>
        </is>
      </c>
      <c r="C27" s="9" t="n">
        <v>0.783</v>
      </c>
      <c r="D27" s="9" t="n">
        <v>0.327</v>
      </c>
    </row>
    <row r="28">
      <c r="A28" s="9" t="inlineStr">
        <is>
          <t>T2 L1 E-T</t>
        </is>
      </c>
      <c r="B28" s="9" t="inlineStr">
        <is>
          <t>T2</t>
        </is>
      </c>
      <c r="C28" s="9" t="n">
        <v>0.576</v>
      </c>
      <c r="D28" s="9" t="n">
        <v>0.246</v>
      </c>
    </row>
    <row r="29">
      <c r="A29" s="9" t="inlineStr">
        <is>
          <t>T2 L1 N-B</t>
        </is>
      </c>
      <c r="B29" s="9" t="inlineStr">
        <is>
          <t>T2</t>
        </is>
      </c>
      <c r="C29" s="9" t="n">
        <v>0.5610000000000001</v>
      </c>
      <c r="D29" s="9" t="n">
        <v>0.234</v>
      </c>
    </row>
    <row r="30">
      <c r="A30" s="9" t="inlineStr">
        <is>
          <t>T2 L1 N-T</t>
        </is>
      </c>
      <c r="B30" s="9" t="inlineStr">
        <is>
          <t>T2</t>
        </is>
      </c>
      <c r="C30" s="9" t="n">
        <v>0.51</v>
      </c>
      <c r="D30" s="9" t="n">
        <v>0.218</v>
      </c>
    </row>
    <row r="31">
      <c r="A31" s="9" t="inlineStr">
        <is>
          <t>T2 L1 S-B</t>
        </is>
      </c>
      <c r="B31" s="9" t="inlineStr">
        <is>
          <t>T2</t>
        </is>
      </c>
      <c r="C31" s="9" t="n">
        <v>0.652</v>
      </c>
      <c r="D31" s="9" t="n">
        <v>0.301</v>
      </c>
    </row>
    <row r="32">
      <c r="A32" s="9" t="inlineStr">
        <is>
          <t>T2 L1 S-T</t>
        </is>
      </c>
      <c r="B32" s="9" t="inlineStr">
        <is>
          <t>T2</t>
        </is>
      </c>
      <c r="C32" s="9" t="n">
        <v>0.548</v>
      </c>
      <c r="D32" s="9" t="n">
        <v>0.256</v>
      </c>
    </row>
    <row r="33">
      <c r="A33" s="9" t="inlineStr">
        <is>
          <t>T2 L1 W-B</t>
        </is>
      </c>
      <c r="B33" s="9" t="inlineStr">
        <is>
          <t>T2</t>
        </is>
      </c>
      <c r="C33" s="9" t="n">
        <v>0.538</v>
      </c>
      <c r="D33" s="9" t="n">
        <v>0.256</v>
      </c>
    </row>
    <row r="34">
      <c r="A34" s="9" t="inlineStr">
        <is>
          <t>T2 L1 W-T</t>
        </is>
      </c>
      <c r="B34" s="9" t="inlineStr">
        <is>
          <t>T2</t>
        </is>
      </c>
      <c r="C34" s="9" t="n">
        <v>0.437</v>
      </c>
      <c r="D34" s="9" t="n">
        <v>0.203</v>
      </c>
    </row>
    <row r="35">
      <c r="A35" s="9" t="inlineStr">
        <is>
          <t>T2 L2 E-B</t>
        </is>
      </c>
      <c r="B35" s="9" t="inlineStr">
        <is>
          <t>T2</t>
        </is>
      </c>
      <c r="C35" s="9" t="n">
        <v>0.53</v>
      </c>
      <c r="D35" s="9" t="n">
        <v>0.232</v>
      </c>
    </row>
    <row r="36">
      <c r="A36" s="9" t="inlineStr">
        <is>
          <t>T2 L2 E-T</t>
        </is>
      </c>
      <c r="B36" s="9" t="inlineStr">
        <is>
          <t>T2</t>
        </is>
      </c>
      <c r="C36" s="9" t="n">
        <v>0.584</v>
      </c>
      <c r="D36" s="9" t="n">
        <v>0.255</v>
      </c>
    </row>
    <row r="37">
      <c r="A37" s="9" t="inlineStr">
        <is>
          <t>T2 L2 N-B</t>
        </is>
      </c>
      <c r="B37" s="9" t="inlineStr">
        <is>
          <t>T2</t>
        </is>
      </c>
      <c r="C37" s="9" t="n">
        <v>0.721</v>
      </c>
      <c r="D37" s="9" t="n">
        <v>0.293</v>
      </c>
    </row>
    <row r="38">
      <c r="A38" s="9" t="inlineStr">
        <is>
          <t>T2 L2 N-T</t>
        </is>
      </c>
      <c r="B38" s="9" t="inlineStr">
        <is>
          <t>T2</t>
        </is>
      </c>
      <c r="C38" s="9" t="n">
        <v>0.591</v>
      </c>
      <c r="D38" s="9" t="n">
        <v>0.23</v>
      </c>
    </row>
    <row r="39">
      <c r="A39" s="9" t="inlineStr">
        <is>
          <t>T2 L2 S-B</t>
        </is>
      </c>
      <c r="B39" s="9" t="inlineStr">
        <is>
          <t>T2</t>
        </is>
      </c>
      <c r="C39" s="9" t="n">
        <v>0.615</v>
      </c>
      <c r="D39" s="9" t="n">
        <v>0.307</v>
      </c>
    </row>
    <row r="40">
      <c r="A40" s="9" t="inlineStr">
        <is>
          <t>T2 L2 S-T</t>
        </is>
      </c>
      <c r="B40" s="9" t="inlineStr">
        <is>
          <t>T2</t>
        </is>
      </c>
      <c r="C40" s="9" t="n">
        <v>0.6840000000000001</v>
      </c>
      <c r="D40" s="9" t="n">
        <v>0.328</v>
      </c>
    </row>
    <row r="41">
      <c r="A41" s="9" t="inlineStr">
        <is>
          <t>T2 L2 W-B</t>
        </is>
      </c>
      <c r="B41" s="9" t="inlineStr">
        <is>
          <t>T2</t>
        </is>
      </c>
      <c r="C41" s="9" t="n">
        <v>0.578</v>
      </c>
      <c r="D41" s="9" t="n">
        <v>0.277</v>
      </c>
    </row>
    <row r="42">
      <c r="A42" s="9" t="inlineStr">
        <is>
          <t>T2 L2 W-T</t>
        </is>
      </c>
      <c r="B42" s="9" t="inlineStr">
        <is>
          <t>T2</t>
        </is>
      </c>
      <c r="C42" s="9" t="n">
        <v>0.469</v>
      </c>
      <c r="D42" s="9" t="n">
        <v>0.241</v>
      </c>
    </row>
    <row r="43">
      <c r="A43" s="9" t="inlineStr">
        <is>
          <t>T2 L3 E-B</t>
        </is>
      </c>
      <c r="B43" s="9" t="inlineStr">
        <is>
          <t>T2</t>
        </is>
      </c>
      <c r="C43" s="9" t="n">
        <v>0.55</v>
      </c>
      <c r="D43" s="9" t="n">
        <v>0.231</v>
      </c>
    </row>
    <row r="44">
      <c r="A44" s="9" t="inlineStr">
        <is>
          <t>T2 L3 E-T</t>
        </is>
      </c>
      <c r="B44" s="9" t="inlineStr">
        <is>
          <t>T2</t>
        </is>
      </c>
      <c r="C44" s="9" t="n">
        <v>0.6</v>
      </c>
      <c r="D44" s="9" t="n">
        <v>0.249</v>
      </c>
    </row>
    <row r="45">
      <c r="A45" s="9" t="inlineStr">
        <is>
          <t>T2 L3 N-B</t>
        </is>
      </c>
      <c r="B45" s="9" t="inlineStr">
        <is>
          <t>T2</t>
        </is>
      </c>
      <c r="C45" s="9" t="n">
        <v>0.6840000000000001</v>
      </c>
      <c r="D45" s="9" t="n">
        <v>0.278</v>
      </c>
    </row>
    <row r="46">
      <c r="A46" s="9" t="inlineStr">
        <is>
          <t>T2 L3 N-T</t>
        </is>
      </c>
      <c r="B46" s="9" t="inlineStr">
        <is>
          <t>T2</t>
        </is>
      </c>
      <c r="C46" s="9" t="n">
        <v>0.308</v>
      </c>
      <c r="D46" s="9" t="n">
        <v>0.204</v>
      </c>
    </row>
    <row r="47">
      <c r="A47" s="9" t="inlineStr">
        <is>
          <t>T2 L3 S-B</t>
        </is>
      </c>
      <c r="B47" s="9" t="inlineStr">
        <is>
          <t>T2</t>
        </is>
      </c>
      <c r="C47" s="9" t="n">
        <v>0.6929999999999999</v>
      </c>
      <c r="D47" s="9" t="n">
        <v>0.345</v>
      </c>
    </row>
    <row r="48">
      <c r="A48" s="9" t="inlineStr">
        <is>
          <t>T2 L3 S-T</t>
        </is>
      </c>
      <c r="B48" s="9" t="inlineStr">
        <is>
          <t>T2</t>
        </is>
      </c>
      <c r="C48" s="9" t="n">
        <v>0.671</v>
      </c>
      <c r="D48" s="9" t="n">
        <v>0.325</v>
      </c>
    </row>
    <row r="49">
      <c r="A49" s="9" t="inlineStr">
        <is>
          <t>T2 L3 W-B</t>
        </is>
      </c>
      <c r="B49" s="9" t="inlineStr">
        <is>
          <t>T2</t>
        </is>
      </c>
      <c r="C49" s="9" t="n">
        <v>0.603</v>
      </c>
      <c r="D49" s="9" t="n">
        <v>0.296</v>
      </c>
    </row>
    <row r="50">
      <c r="A50" s="9" t="inlineStr">
        <is>
          <t>T2 L3 W-T</t>
        </is>
      </c>
      <c r="B50" s="9" t="inlineStr">
        <is>
          <t>T2</t>
        </is>
      </c>
      <c r="C50" s="9" t="n">
        <v>0.522</v>
      </c>
      <c r="D50" s="9" t="n">
        <v>0.277</v>
      </c>
    </row>
    <row r="51">
      <c r="A51" s="9" t="inlineStr">
        <is>
          <t>T3 L1 E-B</t>
        </is>
      </c>
      <c r="B51" s="9" t="inlineStr">
        <is>
          <t>T3</t>
        </is>
      </c>
      <c r="C51" s="9" t="n">
        <v>0.405</v>
      </c>
      <c r="D51" s="9" t="n">
        <v>0.173</v>
      </c>
    </row>
    <row r="52">
      <c r="A52" s="9" t="inlineStr">
        <is>
          <t>T3 L1 E-T</t>
        </is>
      </c>
      <c r="B52" s="9" t="inlineStr">
        <is>
          <t>T3</t>
        </is>
      </c>
      <c r="C52" s="9" t="n">
        <v>0.36</v>
      </c>
      <c r="D52" s="9" t="n">
        <v>0.152</v>
      </c>
    </row>
    <row r="53">
      <c r="A53" s="9" t="inlineStr">
        <is>
          <t>T3 L1 N-B</t>
        </is>
      </c>
      <c r="B53" s="9" t="inlineStr">
        <is>
          <t>T3</t>
        </is>
      </c>
      <c r="C53" s="9" t="n">
        <v>0.52</v>
      </c>
      <c r="D53" s="9" t="n">
        <v>0.237</v>
      </c>
    </row>
    <row r="54">
      <c r="A54" s="9" t="inlineStr">
        <is>
          <t>T3 L1 N-T</t>
        </is>
      </c>
      <c r="B54" s="9" t="inlineStr">
        <is>
          <t>T3</t>
        </is>
      </c>
      <c r="C54" s="9" t="n">
        <v>0.397</v>
      </c>
      <c r="D54" s="9" t="n">
        <v>0.169</v>
      </c>
    </row>
    <row r="55">
      <c r="A55" s="9" t="inlineStr">
        <is>
          <t>T3 L1 S-B</t>
        </is>
      </c>
      <c r="B55" s="9" t="inlineStr">
        <is>
          <t>T3</t>
        </is>
      </c>
      <c r="C55" s="9" t="n">
        <v>0.619</v>
      </c>
      <c r="D55" s="9" t="n">
        <v>0.275</v>
      </c>
    </row>
    <row r="56">
      <c r="A56" s="9" t="inlineStr">
        <is>
          <t>T3 L1 S-T</t>
        </is>
      </c>
      <c r="B56" s="9" t="inlineStr">
        <is>
          <t>T3</t>
        </is>
      </c>
      <c r="C56" s="9" t="n">
        <v>0.637</v>
      </c>
      <c r="D56" s="9" t="n">
        <v>0.284</v>
      </c>
    </row>
    <row r="57">
      <c r="A57" s="9" t="inlineStr">
        <is>
          <t>T3 L1 W-B</t>
        </is>
      </c>
      <c r="B57" s="9" t="inlineStr">
        <is>
          <t>T3</t>
        </is>
      </c>
      <c r="C57" s="9" t="n">
        <v>0.579</v>
      </c>
      <c r="D57" s="9" t="n">
        <v>0.257</v>
      </c>
    </row>
    <row r="58">
      <c r="A58" s="9" t="inlineStr">
        <is>
          <t>T3 L1 W-T</t>
        </is>
      </c>
      <c r="B58" s="9" t="inlineStr">
        <is>
          <t>T3</t>
        </is>
      </c>
      <c r="C58" s="9" t="n">
        <v>0.451</v>
      </c>
      <c r="D58" s="9" t="n">
        <v>0.201</v>
      </c>
    </row>
    <row r="59">
      <c r="A59" s="9" t="inlineStr">
        <is>
          <t>T3 L2 E-B</t>
        </is>
      </c>
      <c r="B59" s="9" t="inlineStr">
        <is>
          <t>T3</t>
        </is>
      </c>
      <c r="C59" s="9" t="n">
        <v>0.53</v>
      </c>
      <c r="D59" s="9" t="n">
        <v>0.247</v>
      </c>
    </row>
    <row r="60">
      <c r="A60" s="9" t="inlineStr">
        <is>
          <t>T3 L2 E-T</t>
        </is>
      </c>
      <c r="B60" s="9" t="inlineStr">
        <is>
          <t>T3</t>
        </is>
      </c>
      <c r="C60" s="9" t="n">
        <v>0.359</v>
      </c>
      <c r="D60" s="9" t="n">
        <v>0.154</v>
      </c>
    </row>
    <row r="61">
      <c r="A61" s="9" t="inlineStr">
        <is>
          <t>T3 L2 N-B</t>
        </is>
      </c>
      <c r="B61" s="9" t="inlineStr">
        <is>
          <t>T3</t>
        </is>
      </c>
      <c r="C61" s="9" t="n">
        <v>0.472</v>
      </c>
      <c r="D61" s="9" t="n">
        <v>0.23</v>
      </c>
    </row>
    <row r="62">
      <c r="A62" s="9" t="inlineStr">
        <is>
          <t>T3 L2 N-T</t>
        </is>
      </c>
      <c r="B62" s="9" t="inlineStr">
        <is>
          <t>T3</t>
        </is>
      </c>
      <c r="C62" s="9" t="n">
        <v>0.458</v>
      </c>
      <c r="D62" s="9" t="n">
        <v>0.2</v>
      </c>
    </row>
    <row r="63">
      <c r="A63" s="9" t="inlineStr">
        <is>
          <t>T3 L2 S-B</t>
        </is>
      </c>
      <c r="B63" s="9" t="inlineStr">
        <is>
          <t>T3</t>
        </is>
      </c>
      <c r="C63" s="9" t="n">
        <v>0.6899999999999999</v>
      </c>
      <c r="D63" s="9" t="n">
        <v>0.291</v>
      </c>
    </row>
    <row r="64">
      <c r="A64" s="9" t="inlineStr">
        <is>
          <t>T3 L2 S-T</t>
        </is>
      </c>
      <c r="B64" s="9" t="inlineStr">
        <is>
          <t>T3</t>
        </is>
      </c>
      <c r="C64" s="9" t="n">
        <v>0.503</v>
      </c>
      <c r="D64" s="9" t="n">
        <v>0.226</v>
      </c>
    </row>
    <row r="65">
      <c r="A65" s="9" t="inlineStr">
        <is>
          <t>T3 L2 W-B</t>
        </is>
      </c>
      <c r="B65" s="9" t="inlineStr">
        <is>
          <t>T3</t>
        </is>
      </c>
      <c r="C65" s="9" t="n">
        <v>0.61</v>
      </c>
      <c r="D65" s="9" t="n">
        <v>0.293</v>
      </c>
    </row>
    <row r="66">
      <c r="A66" s="9" t="inlineStr">
        <is>
          <t>T3 L2 W-T</t>
        </is>
      </c>
      <c r="B66" s="9" t="inlineStr">
        <is>
          <t>T3</t>
        </is>
      </c>
      <c r="C66" s="9" t="n">
        <v>0.481</v>
      </c>
      <c r="D66" s="9" t="n">
        <v>0.233</v>
      </c>
    </row>
    <row r="67">
      <c r="A67" s="9" t="inlineStr">
        <is>
          <t>T3 L3 E-B</t>
        </is>
      </c>
      <c r="B67" s="9" t="inlineStr">
        <is>
          <t>T3</t>
        </is>
      </c>
      <c r="C67" s="9" t="n">
        <v>0.578</v>
      </c>
      <c r="D67" s="9" t="n">
        <v>0.256</v>
      </c>
    </row>
    <row r="68">
      <c r="A68" s="9" t="inlineStr">
        <is>
          <t>T3 L3 E-T</t>
        </is>
      </c>
      <c r="B68" s="9" t="inlineStr">
        <is>
          <t>T3</t>
        </is>
      </c>
      <c r="C68" s="9" t="n">
        <v>0.407</v>
      </c>
      <c r="D68" s="9" t="n">
        <v>0.201</v>
      </c>
    </row>
    <row r="69">
      <c r="A69" s="9" t="inlineStr">
        <is>
          <t>T3 L3 N-B</t>
        </is>
      </c>
      <c r="B69" s="9" t="inlineStr">
        <is>
          <t>T3</t>
        </is>
      </c>
      <c r="C69" s="9" t="n">
        <v>0.591</v>
      </c>
      <c r="D69" s="9" t="n">
        <v>0.266</v>
      </c>
    </row>
    <row r="70">
      <c r="A70" s="9" t="inlineStr">
        <is>
          <t>T3 L3 N-T</t>
        </is>
      </c>
      <c r="B70" s="9" t="inlineStr">
        <is>
          <t>T3</t>
        </is>
      </c>
      <c r="C70" s="9" t="n">
        <v>0.473</v>
      </c>
      <c r="D70" s="9" t="n">
        <v>0.21</v>
      </c>
    </row>
    <row r="71">
      <c r="A71" s="9" t="inlineStr">
        <is>
          <t>T3 L3 S-B</t>
        </is>
      </c>
      <c r="B71" s="9" t="inlineStr">
        <is>
          <t>T3</t>
        </is>
      </c>
      <c r="C71" s="9" t="n">
        <v>0.615</v>
      </c>
      <c r="D71" s="9" t="n">
        <v>0.294</v>
      </c>
    </row>
    <row r="72">
      <c r="A72" s="9" t="inlineStr">
        <is>
          <t>T3 L3 S-T</t>
        </is>
      </c>
      <c r="B72" s="9" t="inlineStr">
        <is>
          <t>T3</t>
        </is>
      </c>
      <c r="C72" s="9" t="n">
        <v>0.533</v>
      </c>
      <c r="D72" s="9" t="n">
        <v>0.255</v>
      </c>
    </row>
    <row r="73">
      <c r="A73" s="9" t="inlineStr">
        <is>
          <t>T3 L3 W-B</t>
        </is>
      </c>
      <c r="B73" s="9" t="inlineStr">
        <is>
          <t>T3</t>
        </is>
      </c>
      <c r="C73" s="9" t="n">
        <v>0.335</v>
      </c>
      <c r="D73" s="9" t="n">
        <v>0.158</v>
      </c>
    </row>
    <row r="74">
      <c r="A74" s="9" t="inlineStr">
        <is>
          <t>T3 L3 W-T</t>
        </is>
      </c>
      <c r="B74" s="9" t="inlineStr">
        <is>
          <t>T3</t>
        </is>
      </c>
      <c r="C74" s="9" t="n">
        <v>0.464</v>
      </c>
      <c r="D74" s="9" t="n">
        <v>0.206</v>
      </c>
    </row>
    <row r="75">
      <c r="A75" s="10" t="inlineStr">
        <is>
          <t>T4 L1 E-B</t>
        </is>
      </c>
      <c r="B75" s="10" t="inlineStr">
        <is>
          <t>T4</t>
        </is>
      </c>
      <c r="C75" s="10" t="n">
        <v>0.672</v>
      </c>
      <c r="D75" s="10" t="n">
        <v>0.275</v>
      </c>
    </row>
    <row r="76">
      <c r="A76" s="10" t="inlineStr">
        <is>
          <t>T4 L1 E-T</t>
        </is>
      </c>
      <c r="B76" s="10" t="inlineStr">
        <is>
          <t>T4</t>
        </is>
      </c>
      <c r="C76" s="10" t="n">
        <v>0.631</v>
      </c>
      <c r="D76" s="10" t="n">
        <v>0.253</v>
      </c>
    </row>
    <row r="77">
      <c r="A77" s="10" t="inlineStr">
        <is>
          <t>T4 L1 N-B</t>
        </is>
      </c>
      <c r="B77" s="10" t="inlineStr">
        <is>
          <t>T4</t>
        </is>
      </c>
      <c r="C77" s="10" t="n">
        <v>0.487</v>
      </c>
      <c r="D77" s="10" t="n">
        <v>0.198</v>
      </c>
    </row>
    <row r="78">
      <c r="A78" s="10" t="inlineStr">
        <is>
          <t>T4 L1 N-T</t>
        </is>
      </c>
      <c r="B78" s="10" t="inlineStr">
        <is>
          <t>T4</t>
        </is>
      </c>
      <c r="C78" s="10" t="n">
        <v>0.424</v>
      </c>
      <c r="D78" s="10" t="n">
        <v>0.184</v>
      </c>
    </row>
    <row r="79">
      <c r="A79" s="10" t="inlineStr">
        <is>
          <t>T4 L1 S-B</t>
        </is>
      </c>
      <c r="B79" s="10" t="inlineStr">
        <is>
          <t>T4</t>
        </is>
      </c>
      <c r="C79" s="10" t="n">
        <v>0.596</v>
      </c>
      <c r="D79" s="10" t="n">
        <v>0.246</v>
      </c>
    </row>
    <row r="80">
      <c r="A80" s="10" t="inlineStr">
        <is>
          <t>T4 L1 S-T</t>
        </is>
      </c>
      <c r="B80" s="10" t="inlineStr">
        <is>
          <t>T4</t>
        </is>
      </c>
      <c r="C80" s="10" t="n">
        <v>0.597</v>
      </c>
      <c r="D80" s="10" t="n">
        <v>0.276</v>
      </c>
    </row>
    <row r="81">
      <c r="A81" s="10" t="inlineStr">
        <is>
          <t>T4 L1 W-B</t>
        </is>
      </c>
      <c r="B81" s="10" t="inlineStr">
        <is>
          <t>T4</t>
        </is>
      </c>
      <c r="C81" s="10" t="n">
        <v>0.522</v>
      </c>
      <c r="D81" s="10" t="n">
        <v>0.219</v>
      </c>
    </row>
    <row r="82">
      <c r="A82" s="10" t="inlineStr">
        <is>
          <t>T4 L1 W-T</t>
        </is>
      </c>
      <c r="B82" s="10" t="inlineStr">
        <is>
          <t>T4</t>
        </is>
      </c>
      <c r="C82" s="10" t="n">
        <v>0.503</v>
      </c>
      <c r="D82" s="10" t="n">
        <v>0.287</v>
      </c>
    </row>
    <row r="83">
      <c r="A83" s="10" t="inlineStr">
        <is>
          <t>T4 L2 E-B</t>
        </is>
      </c>
      <c r="B83" s="10" t="inlineStr">
        <is>
          <t>T4</t>
        </is>
      </c>
      <c r="C83" s="10" t="n">
        <v>0.555</v>
      </c>
      <c r="D83" s="10" t="n">
        <v>0.232</v>
      </c>
    </row>
    <row r="84">
      <c r="A84" s="10" t="inlineStr">
        <is>
          <t>T4 L2 E-T</t>
        </is>
      </c>
      <c r="B84" s="10" t="inlineStr">
        <is>
          <t>T4</t>
        </is>
      </c>
      <c r="C84" s="10" t="n">
        <v>0.356</v>
      </c>
      <c r="D84" s="10" t="n">
        <v>0.154</v>
      </c>
    </row>
    <row r="85">
      <c r="A85" s="10" t="inlineStr">
        <is>
          <t>T4 L2 N-B</t>
        </is>
      </c>
      <c r="B85" s="10" t="inlineStr">
        <is>
          <t>T4</t>
        </is>
      </c>
      <c r="C85" s="10" t="n">
        <v>0.448</v>
      </c>
      <c r="D85" s="10" t="n">
        <v>0.175</v>
      </c>
    </row>
    <row r="86">
      <c r="A86" s="10" t="inlineStr">
        <is>
          <t>T4 L2 N-T</t>
        </is>
      </c>
      <c r="B86" s="10" t="inlineStr">
        <is>
          <t>T4</t>
        </is>
      </c>
      <c r="C86" s="10" t="n">
        <v>0.521</v>
      </c>
      <c r="D86" s="10" t="n">
        <v>0.22</v>
      </c>
    </row>
    <row r="87">
      <c r="A87" s="10" t="inlineStr">
        <is>
          <t>T4 L2 S-B</t>
        </is>
      </c>
      <c r="B87" s="10" t="inlineStr">
        <is>
          <t>T4</t>
        </is>
      </c>
      <c r="C87" s="10" t="n">
        <v>0.501</v>
      </c>
      <c r="D87" s="10" t="n">
        <v>0.203</v>
      </c>
    </row>
    <row r="88">
      <c r="A88" s="10" t="inlineStr">
        <is>
          <t>T4 L2 S-T</t>
        </is>
      </c>
      <c r="B88" s="10" t="inlineStr">
        <is>
          <t>T4</t>
        </is>
      </c>
      <c r="C88" s="10" t="n">
        <v>0.453</v>
      </c>
      <c r="D88" s="10" t="n">
        <v>0.193</v>
      </c>
    </row>
    <row r="89">
      <c r="A89" s="10" t="inlineStr">
        <is>
          <t>T4 L2 W-B</t>
        </is>
      </c>
      <c r="B89" s="10" t="inlineStr">
        <is>
          <t>T4</t>
        </is>
      </c>
      <c r="C89" s="10" t="n">
        <v>0.414</v>
      </c>
      <c r="D89" s="10" t="n">
        <v>0.17</v>
      </c>
    </row>
    <row r="90">
      <c r="A90" s="10" t="inlineStr">
        <is>
          <t>T4 L2 W-T</t>
        </is>
      </c>
      <c r="B90" s="10" t="inlineStr">
        <is>
          <t>T4</t>
        </is>
      </c>
      <c r="C90" s="10" t="n">
        <v>0.428</v>
      </c>
      <c r="D90" s="10" t="n">
        <v>0.22</v>
      </c>
    </row>
    <row r="91">
      <c r="A91" s="10" t="inlineStr">
        <is>
          <t>T4 L3 E-B</t>
        </is>
      </c>
      <c r="B91" s="10" t="inlineStr">
        <is>
          <t>T4</t>
        </is>
      </c>
      <c r="C91" s="10" t="n">
        <v>0.747</v>
      </c>
      <c r="D91" s="10" t="n">
        <v>0.323</v>
      </c>
    </row>
    <row r="92">
      <c r="A92" s="10" t="inlineStr">
        <is>
          <t>T4 L3 E-T</t>
        </is>
      </c>
      <c r="B92" s="10" t="inlineStr">
        <is>
          <t>T4</t>
        </is>
      </c>
      <c r="C92" s="10" t="n">
        <v>0.638</v>
      </c>
      <c r="D92" s="10" t="n">
        <v>0.255</v>
      </c>
    </row>
    <row r="93">
      <c r="A93" s="10" t="inlineStr">
        <is>
          <t>T4 L3 N-B</t>
        </is>
      </c>
      <c r="B93" s="10" t="inlineStr">
        <is>
          <t>T4</t>
        </is>
      </c>
      <c r="C93" s="10" t="n">
        <v>0.642</v>
      </c>
      <c r="D93" s="10" t="n">
        <v>0.273</v>
      </c>
    </row>
    <row r="94">
      <c r="A94" s="10" t="inlineStr">
        <is>
          <t>T4 L3 N-T</t>
        </is>
      </c>
      <c r="B94" s="10" t="inlineStr">
        <is>
          <t>T4</t>
        </is>
      </c>
      <c r="C94" s="10" t="n">
        <v>0.491</v>
      </c>
      <c r="D94" s="10" t="n">
        <v>0.204</v>
      </c>
    </row>
    <row r="95">
      <c r="A95" s="10" t="inlineStr">
        <is>
          <t>T4 L3 S-B</t>
        </is>
      </c>
      <c r="B95" s="10" t="inlineStr">
        <is>
          <t>T4</t>
        </is>
      </c>
      <c r="C95" s="10" t="n">
        <v>0.894</v>
      </c>
      <c r="D95" s="10" t="n">
        <v>0.366</v>
      </c>
    </row>
    <row r="96">
      <c r="A96" s="10" t="inlineStr">
        <is>
          <t>T4 L3 S-T</t>
        </is>
      </c>
      <c r="B96" s="10" t="inlineStr">
        <is>
          <t>T4</t>
        </is>
      </c>
      <c r="C96" s="10" t="n">
        <v>0.774</v>
      </c>
      <c r="D96" s="10" t="n">
        <v>0.309</v>
      </c>
    </row>
    <row r="97">
      <c r="A97" s="10" t="inlineStr">
        <is>
          <t>T4 L3 W-B</t>
        </is>
      </c>
      <c r="B97" s="10" t="inlineStr">
        <is>
          <t>T4</t>
        </is>
      </c>
      <c r="C97" s="10" t="n">
        <v>0.619</v>
      </c>
      <c r="D97" s="10" t="n">
        <v>0.273</v>
      </c>
    </row>
    <row r="98">
      <c r="A98" s="10" t="inlineStr">
        <is>
          <t>T4 L3 W-T</t>
        </is>
      </c>
      <c r="B98" s="10" t="inlineStr">
        <is>
          <t>T4</t>
        </is>
      </c>
      <c r="C98" s="10" t="n">
        <v>0.621</v>
      </c>
      <c r="D98" s="10" t="n">
        <v>0.269</v>
      </c>
    </row>
    <row r="99">
      <c r="A99" s="10" t="inlineStr">
        <is>
          <t>T5 L1 E-B</t>
        </is>
      </c>
      <c r="B99" s="10" t="inlineStr">
        <is>
          <t>T5</t>
        </is>
      </c>
      <c r="C99" s="10" t="n">
        <v>0.31</v>
      </c>
      <c r="D99" s="10" t="n">
        <v>0.13</v>
      </c>
    </row>
    <row r="100">
      <c r="A100" s="10" t="inlineStr">
        <is>
          <t>T5 L1 E-T</t>
        </is>
      </c>
      <c r="B100" s="10" t="inlineStr">
        <is>
          <t>T5</t>
        </is>
      </c>
      <c r="C100" s="10" t="n">
        <v>0.32</v>
      </c>
      <c r="D100" s="10" t="n">
        <v>0.114</v>
      </c>
    </row>
    <row r="101">
      <c r="A101" s="10" t="inlineStr">
        <is>
          <t>T5 L1 N-B</t>
        </is>
      </c>
      <c r="B101" s="10" t="inlineStr">
        <is>
          <t>T5</t>
        </is>
      </c>
      <c r="C101" s="10" t="n">
        <v>0.5590000000000001</v>
      </c>
      <c r="D101" s="10" t="n">
        <v>0.222</v>
      </c>
    </row>
    <row r="102">
      <c r="A102" s="10" t="inlineStr">
        <is>
          <t>T5 L1 N-T</t>
        </is>
      </c>
      <c r="B102" s="10" t="inlineStr">
        <is>
          <t>T5</t>
        </is>
      </c>
      <c r="C102" s="10" t="n">
        <v>0.416</v>
      </c>
      <c r="D102" s="10" t="n">
        <v>0.188</v>
      </c>
    </row>
    <row r="103">
      <c r="A103" s="10" t="inlineStr">
        <is>
          <t>T5 L1 S-B</t>
        </is>
      </c>
      <c r="B103" s="10" t="inlineStr">
        <is>
          <t>T5</t>
        </is>
      </c>
      <c r="C103" s="10" t="n">
        <v>0.447</v>
      </c>
      <c r="D103" s="10" t="n">
        <v>0.177</v>
      </c>
    </row>
    <row r="104">
      <c r="A104" s="10" t="inlineStr">
        <is>
          <t>T5 L1 S-T</t>
        </is>
      </c>
      <c r="B104" s="10" t="inlineStr">
        <is>
          <t>T5</t>
        </is>
      </c>
      <c r="C104" s="10" t="n">
        <v>0.373</v>
      </c>
      <c r="D104" s="10" t="n">
        <v>0.162</v>
      </c>
    </row>
    <row r="105">
      <c r="A105" s="10" t="inlineStr">
        <is>
          <t>T5 L1 W-B</t>
        </is>
      </c>
      <c r="B105" s="10" t="inlineStr">
        <is>
          <t>T5</t>
        </is>
      </c>
      <c r="C105" s="10" t="n">
        <v>0.5649999999999999</v>
      </c>
      <c r="D105" s="10" t="n">
        <v>0.234</v>
      </c>
    </row>
    <row r="106">
      <c r="A106" s="10" t="inlineStr">
        <is>
          <t>T5 L1 W-T</t>
        </is>
      </c>
      <c r="B106" s="10" t="inlineStr">
        <is>
          <t>T5</t>
        </is>
      </c>
      <c r="C106" s="10" t="n">
        <v>0.443</v>
      </c>
      <c r="D106" s="10" t="n">
        <v>0.172</v>
      </c>
    </row>
    <row r="107">
      <c r="A107" s="10" t="inlineStr">
        <is>
          <t>T5 L2 E-B</t>
        </is>
      </c>
      <c r="B107" s="10" t="inlineStr">
        <is>
          <t>T5</t>
        </is>
      </c>
      <c r="C107" s="10" t="n">
        <v>0.243</v>
      </c>
      <c r="D107" s="10" t="n">
        <v>0.152</v>
      </c>
    </row>
    <row r="108">
      <c r="A108" s="10" t="inlineStr">
        <is>
          <t>T5 L2 E-T</t>
        </is>
      </c>
      <c r="B108" s="10" t="inlineStr">
        <is>
          <t>T5</t>
        </is>
      </c>
      <c r="C108" s="10" t="n">
        <v>0.243</v>
      </c>
      <c r="D108" s="10" t="n">
        <v>0.101</v>
      </c>
    </row>
    <row r="109">
      <c r="A109" s="10" t="inlineStr">
        <is>
          <t>T5 L2 N-B</t>
        </is>
      </c>
      <c r="B109" s="10" t="inlineStr">
        <is>
          <t>T5</t>
        </is>
      </c>
      <c r="C109" s="10" t="n">
        <v>0.307</v>
      </c>
      <c r="D109" s="10" t="n">
        <v>0.154</v>
      </c>
    </row>
    <row r="110">
      <c r="A110" s="10" t="inlineStr">
        <is>
          <t>T5 L2 N-T</t>
        </is>
      </c>
      <c r="B110" s="10" t="inlineStr">
        <is>
          <t>T5</t>
        </is>
      </c>
      <c r="C110" s="10" t="n">
        <v>0.317</v>
      </c>
      <c r="D110" s="10" t="n">
        <v>0.12</v>
      </c>
    </row>
    <row r="111">
      <c r="A111" s="10" t="inlineStr">
        <is>
          <t>T5 L2 S-B</t>
        </is>
      </c>
      <c r="B111" s="10" t="inlineStr">
        <is>
          <t>T5</t>
        </is>
      </c>
      <c r="C111" s="10" t="n">
        <v>0.356</v>
      </c>
      <c r="D111" s="10" t="n">
        <v>0.139</v>
      </c>
    </row>
    <row r="112">
      <c r="A112" s="10" t="inlineStr">
        <is>
          <t>T5 L2 S-T</t>
        </is>
      </c>
      <c r="B112" s="10" t="inlineStr">
        <is>
          <t>T5</t>
        </is>
      </c>
      <c r="C112" s="10" t="n">
        <v>0.367</v>
      </c>
      <c r="D112" s="10" t="n">
        <v>0.171</v>
      </c>
    </row>
    <row r="113">
      <c r="A113" s="10" t="inlineStr">
        <is>
          <t>T5 L2 W-B</t>
        </is>
      </c>
      <c r="B113" s="10" t="inlineStr">
        <is>
          <t>T5</t>
        </is>
      </c>
      <c r="C113" s="10" t="n">
        <v>0.497</v>
      </c>
      <c r="D113" s="10" t="n">
        <v>0.2</v>
      </c>
    </row>
    <row r="114">
      <c r="A114" s="10" t="inlineStr">
        <is>
          <t>T5 L2 W-T</t>
        </is>
      </c>
      <c r="B114" s="10" t="inlineStr">
        <is>
          <t>T5</t>
        </is>
      </c>
      <c r="C114" s="10" t="n">
        <v>0.5679999999999999</v>
      </c>
      <c r="D114" s="10" t="n">
        <v>0.23</v>
      </c>
    </row>
    <row r="115">
      <c r="A115" s="10" t="inlineStr">
        <is>
          <t>T5 L3 E-B</t>
        </is>
      </c>
      <c r="B115" s="10" t="inlineStr">
        <is>
          <t>T5</t>
        </is>
      </c>
      <c r="C115" s="10" t="n">
        <v>0.252</v>
      </c>
      <c r="D115" s="10" t="n">
        <v>0.101</v>
      </c>
    </row>
    <row r="116">
      <c r="A116" s="10" t="inlineStr">
        <is>
          <t>T5 L3 E-T</t>
        </is>
      </c>
      <c r="B116" s="10" t="inlineStr">
        <is>
          <t>T5</t>
        </is>
      </c>
      <c r="C116" s="10" t="n">
        <v>0.417</v>
      </c>
      <c r="D116" s="10" t="n">
        <v>0.186</v>
      </c>
    </row>
    <row r="117">
      <c r="A117" s="10" t="inlineStr">
        <is>
          <t>T5 L3 N-B</t>
        </is>
      </c>
      <c r="B117" s="10" t="inlineStr">
        <is>
          <t>T5</t>
        </is>
      </c>
      <c r="C117" s="10" t="n">
        <v>0.369</v>
      </c>
      <c r="D117" s="10" t="n">
        <v>0.154</v>
      </c>
    </row>
    <row r="118">
      <c r="A118" s="10" t="inlineStr">
        <is>
          <t>T5 L3 N-T</t>
        </is>
      </c>
      <c r="B118" s="10" t="inlineStr">
        <is>
          <t>T5</t>
        </is>
      </c>
      <c r="C118" s="10" t="n">
        <v>0.345</v>
      </c>
      <c r="D118" s="10" t="n">
        <v>0.171</v>
      </c>
    </row>
    <row r="119">
      <c r="A119" s="10" t="inlineStr">
        <is>
          <t>T5 L3 S-B</t>
        </is>
      </c>
      <c r="B119" s="10" t="inlineStr">
        <is>
          <t>T5</t>
        </is>
      </c>
      <c r="C119" s="10" t="n">
        <v>0.499</v>
      </c>
      <c r="D119" s="10" t="n">
        <v>0.215</v>
      </c>
    </row>
    <row r="120">
      <c r="A120" s="10" t="inlineStr">
        <is>
          <t>T5 L3 S-T</t>
        </is>
      </c>
      <c r="B120" s="10" t="inlineStr">
        <is>
          <t>T5</t>
        </is>
      </c>
      <c r="C120" s="10" t="n">
        <v>0.347</v>
      </c>
      <c r="D120" s="10" t="n">
        <v>0.129</v>
      </c>
    </row>
    <row r="121">
      <c r="A121" s="10" t="inlineStr">
        <is>
          <t>T5 L3 W-B</t>
        </is>
      </c>
      <c r="B121" s="10" t="inlineStr">
        <is>
          <t>T5</t>
        </is>
      </c>
      <c r="C121" s="10" t="n">
        <v>0.578</v>
      </c>
      <c r="D121" s="10" t="n">
        <v>0.23</v>
      </c>
    </row>
    <row r="122">
      <c r="A122" s="10" t="inlineStr">
        <is>
          <t>T5 L3 W-T</t>
        </is>
      </c>
      <c r="B122" s="10" t="inlineStr">
        <is>
          <t>T5</t>
        </is>
      </c>
      <c r="C122" s="10" t="n">
        <v>0.484</v>
      </c>
      <c r="D122" s="10" t="n">
        <v>0.198</v>
      </c>
    </row>
    <row r="123">
      <c r="A123" s="10" t="inlineStr">
        <is>
          <t>T6 L1 E-B</t>
        </is>
      </c>
      <c r="B123" s="10" t="inlineStr">
        <is>
          <t>T6</t>
        </is>
      </c>
      <c r="C123" s="10" t="n">
        <v>0.359</v>
      </c>
      <c r="D123" s="10" t="n">
        <v>0.155</v>
      </c>
    </row>
    <row r="124">
      <c r="A124" s="10" t="inlineStr">
        <is>
          <t>T6 L1 E-T</t>
        </is>
      </c>
      <c r="B124" s="10" t="inlineStr">
        <is>
          <t>T6</t>
        </is>
      </c>
      <c r="C124" s="10" t="n">
        <v>0.466</v>
      </c>
      <c r="D124" s="10" t="n">
        <v>0.211</v>
      </c>
    </row>
    <row r="125">
      <c r="A125" s="10" t="inlineStr">
        <is>
          <t>T6 L1 N-B</t>
        </is>
      </c>
      <c r="B125" s="10" t="inlineStr">
        <is>
          <t>T6</t>
        </is>
      </c>
      <c r="C125" s="10" t="n">
        <v>0.601</v>
      </c>
      <c r="D125" s="10" t="n">
        <v>0.28</v>
      </c>
    </row>
    <row r="126">
      <c r="A126" s="10" t="inlineStr">
        <is>
          <t>T6 L1 N-T</t>
        </is>
      </c>
      <c r="B126" s="10" t="inlineStr">
        <is>
          <t>T6</t>
        </is>
      </c>
      <c r="C126" s="10" t="n">
        <v>0.525</v>
      </c>
      <c r="D126" s="10" t="n">
        <v>0.234</v>
      </c>
    </row>
    <row r="127">
      <c r="A127" s="10" t="inlineStr">
        <is>
          <t>T6 L1 S-B</t>
        </is>
      </c>
      <c r="B127" s="10" t="inlineStr">
        <is>
          <t>T6</t>
        </is>
      </c>
      <c r="C127" s="10" t="n">
        <v>0.301</v>
      </c>
      <c r="D127" s="10" t="n">
        <v>0.134</v>
      </c>
    </row>
    <row r="128">
      <c r="A128" s="10" t="inlineStr">
        <is>
          <t>T6 L1 S-T</t>
        </is>
      </c>
      <c r="B128" s="10" t="inlineStr">
        <is>
          <t>T6</t>
        </is>
      </c>
      <c r="C128" s="10" t="n">
        <v>0.272</v>
      </c>
      <c r="D128" s="10" t="n">
        <v>0.121</v>
      </c>
    </row>
    <row r="129">
      <c r="A129" s="10" t="inlineStr">
        <is>
          <t>T6 L1 W-B</t>
        </is>
      </c>
      <c r="B129" s="10" t="inlineStr">
        <is>
          <t>T6</t>
        </is>
      </c>
      <c r="C129" s="10" t="n">
        <v>0.48</v>
      </c>
      <c r="D129" s="10" t="n">
        <v>0.216</v>
      </c>
    </row>
    <row r="130">
      <c r="A130" s="10" t="inlineStr">
        <is>
          <t>T6 L1 W-T</t>
        </is>
      </c>
      <c r="B130" s="10" t="inlineStr">
        <is>
          <t>T6</t>
        </is>
      </c>
      <c r="C130" s="10" t="n">
        <v>0.413</v>
      </c>
      <c r="D130" s="10" t="n">
        <v>0.201</v>
      </c>
    </row>
    <row r="131">
      <c r="A131" s="10" t="inlineStr">
        <is>
          <t>T6 L2 E-B</t>
        </is>
      </c>
      <c r="B131" s="10" t="inlineStr">
        <is>
          <t>T6</t>
        </is>
      </c>
      <c r="C131" s="10" t="n">
        <v>0.383</v>
      </c>
      <c r="D131" s="10" t="n">
        <v>0.179</v>
      </c>
    </row>
    <row r="132">
      <c r="A132" s="10" t="inlineStr">
        <is>
          <t>T6 L2 E-T</t>
        </is>
      </c>
      <c r="B132" s="10" t="inlineStr">
        <is>
          <t>T6</t>
        </is>
      </c>
      <c r="C132" s="10" t="n">
        <v>0.368</v>
      </c>
      <c r="D132" s="10" t="n">
        <v>0.16</v>
      </c>
    </row>
    <row r="133">
      <c r="A133" s="10" t="inlineStr">
        <is>
          <t>T6 L2 N-B</t>
        </is>
      </c>
      <c r="B133" s="10" t="inlineStr">
        <is>
          <t>T6</t>
        </is>
      </c>
      <c r="C133" s="10" t="n">
        <v>0.578</v>
      </c>
      <c r="D133" s="10" t="n">
        <v>0.243</v>
      </c>
    </row>
    <row r="134">
      <c r="A134" s="10" t="inlineStr">
        <is>
          <t>T6 L2 N-T</t>
        </is>
      </c>
      <c r="B134" s="10" t="inlineStr">
        <is>
          <t>T6</t>
        </is>
      </c>
      <c r="C134" s="10" t="n">
        <v>0.402</v>
      </c>
      <c r="D134" s="10" t="n">
        <v>0.171</v>
      </c>
    </row>
    <row r="135">
      <c r="A135" s="10" t="inlineStr">
        <is>
          <t>T6 L2 S-B</t>
        </is>
      </c>
      <c r="B135" s="10" t="inlineStr">
        <is>
          <t>T6</t>
        </is>
      </c>
      <c r="C135" s="10" t="n">
        <v>0.387</v>
      </c>
      <c r="D135" s="10" t="n">
        <v>0.168</v>
      </c>
    </row>
    <row r="136">
      <c r="A136" s="10" t="inlineStr">
        <is>
          <t>T6 L2 S-T</t>
        </is>
      </c>
      <c r="B136" s="10" t="inlineStr">
        <is>
          <t>T6</t>
        </is>
      </c>
      <c r="C136" s="10" t="n">
        <v>0.415</v>
      </c>
      <c r="D136" s="10" t="n">
        <v>0.192</v>
      </c>
    </row>
    <row r="137">
      <c r="A137" s="10" t="inlineStr">
        <is>
          <t>T6 L2 W-B</t>
        </is>
      </c>
      <c r="B137" s="10" t="inlineStr">
        <is>
          <t>T6</t>
        </is>
      </c>
      <c r="C137" s="10" t="n">
        <v>0.626</v>
      </c>
      <c r="D137" s="10" t="n">
        <v>0.305</v>
      </c>
    </row>
    <row r="138">
      <c r="A138" s="10" t="inlineStr">
        <is>
          <t>T6 L2 W-T</t>
        </is>
      </c>
      <c r="B138" s="10" t="inlineStr">
        <is>
          <t>T6</t>
        </is>
      </c>
      <c r="C138" s="10" t="n">
        <v>0.467</v>
      </c>
      <c r="D138" s="10" t="n">
        <v>0.253</v>
      </c>
    </row>
    <row r="139">
      <c r="A139" s="10" t="inlineStr">
        <is>
          <t>T6 L3 E-B</t>
        </is>
      </c>
      <c r="B139" s="10" t="inlineStr">
        <is>
          <t>T6</t>
        </is>
      </c>
      <c r="C139" s="10" t="n">
        <v>0.362</v>
      </c>
      <c r="D139" s="10" t="n">
        <v>0.16</v>
      </c>
    </row>
    <row r="140">
      <c r="A140" s="10" t="inlineStr">
        <is>
          <t>T6 L3 E-T</t>
        </is>
      </c>
      <c r="B140" s="10" t="inlineStr">
        <is>
          <t>T6</t>
        </is>
      </c>
      <c r="C140" s="10" t="n">
        <v>0.3</v>
      </c>
      <c r="D140" s="10" t="n">
        <v>0.126</v>
      </c>
    </row>
    <row r="141">
      <c r="A141" s="10" t="inlineStr">
        <is>
          <t>T6 L3 N-B</t>
        </is>
      </c>
      <c r="B141" s="10" t="inlineStr">
        <is>
          <t>T6</t>
        </is>
      </c>
      <c r="C141" s="10" t="n">
        <v>0.5649999999999999</v>
      </c>
      <c r="D141" s="10" t="n">
        <v>0.235</v>
      </c>
    </row>
    <row r="142">
      <c r="A142" s="10" t="inlineStr">
        <is>
          <t>T6 L3 N-T</t>
        </is>
      </c>
      <c r="B142" s="10" t="inlineStr">
        <is>
          <t>T6</t>
        </is>
      </c>
      <c r="C142" s="10" t="n">
        <v>0.419</v>
      </c>
      <c r="D142" s="10" t="n">
        <v>0.181</v>
      </c>
    </row>
    <row r="143">
      <c r="A143" s="10" t="inlineStr">
        <is>
          <t>T6 L3 S-B</t>
        </is>
      </c>
      <c r="B143" s="10" t="inlineStr">
        <is>
          <t>T6</t>
        </is>
      </c>
      <c r="C143" s="10" t="n">
        <v>0.396</v>
      </c>
      <c r="D143" s="10" t="n">
        <v>0.178</v>
      </c>
    </row>
    <row r="144">
      <c r="A144" s="10" t="inlineStr">
        <is>
          <t>T6 L3 S-T</t>
        </is>
      </c>
      <c r="B144" s="10" t="inlineStr">
        <is>
          <t>T6</t>
        </is>
      </c>
      <c r="C144" s="10" t="n">
        <v>0.323</v>
      </c>
      <c r="D144" s="10" t="n">
        <v>0.129</v>
      </c>
    </row>
    <row r="145">
      <c r="A145" s="10" t="inlineStr">
        <is>
          <t>T6 L3 W-B</t>
        </is>
      </c>
      <c r="B145" s="10" t="inlineStr">
        <is>
          <t>T6</t>
        </is>
      </c>
      <c r="C145" s="10" t="n">
        <v>0.584</v>
      </c>
      <c r="D145" s="10" t="n">
        <v>0.263</v>
      </c>
    </row>
    <row r="146">
      <c r="A146" s="10" t="inlineStr">
        <is>
          <t>T6 L3 W-T</t>
        </is>
      </c>
      <c r="B146" s="10" t="inlineStr">
        <is>
          <t>T6</t>
        </is>
      </c>
      <c r="C146" s="10" t="n">
        <v>0.487</v>
      </c>
      <c r="D146" s="10" t="n">
        <v>0.219</v>
      </c>
    </row>
    <row r="147">
      <c r="A147" s="11" t="inlineStr">
        <is>
          <t>T7 L1 E-B</t>
        </is>
      </c>
      <c r="B147" s="11" t="inlineStr">
        <is>
          <t>T7</t>
        </is>
      </c>
      <c r="C147" s="11" t="n">
        <v>0.786</v>
      </c>
      <c r="D147" s="11" t="n">
        <v>0.353</v>
      </c>
    </row>
    <row r="148">
      <c r="A148" s="11" t="inlineStr">
        <is>
          <t>T7 L1 E-T</t>
        </is>
      </c>
      <c r="B148" s="11" t="inlineStr">
        <is>
          <t>T7</t>
        </is>
      </c>
      <c r="C148" s="11" t="n">
        <v>0.618</v>
      </c>
      <c r="D148" s="11" t="n">
        <v>0.274</v>
      </c>
    </row>
    <row r="149">
      <c r="A149" s="11" t="inlineStr">
        <is>
          <t>T7 L1 N-B</t>
        </is>
      </c>
      <c r="B149" s="11" t="inlineStr">
        <is>
          <t>T7</t>
        </is>
      </c>
      <c r="C149" s="11" t="n">
        <v>0.771</v>
      </c>
      <c r="D149" s="11" t="n">
        <v>0.348</v>
      </c>
    </row>
    <row r="150">
      <c r="A150" s="11" t="inlineStr">
        <is>
          <t>T7 L1 N-T</t>
        </is>
      </c>
      <c r="B150" s="11" t="inlineStr">
        <is>
          <t>T7</t>
        </is>
      </c>
      <c r="C150" s="11" t="n">
        <v>0.702</v>
      </c>
      <c r="D150" s="11" t="n">
        <v>0.311</v>
      </c>
    </row>
    <row r="151">
      <c r="A151" s="11" t="inlineStr">
        <is>
          <t>T7 L1 S-B</t>
        </is>
      </c>
      <c r="B151" s="11" t="inlineStr">
        <is>
          <t>T7</t>
        </is>
      </c>
      <c r="C151" s="11" t="n">
        <v>0.494</v>
      </c>
      <c r="D151" s="11" t="n">
        <v>0.234</v>
      </c>
    </row>
    <row r="152">
      <c r="A152" s="11" t="inlineStr">
        <is>
          <t>T7 L1 S-T</t>
        </is>
      </c>
      <c r="B152" s="11" t="inlineStr">
        <is>
          <t>T7</t>
        </is>
      </c>
      <c r="C152" s="11" t="n">
        <v>0.49</v>
      </c>
      <c r="D152" s="11" t="n">
        <v>0.24</v>
      </c>
    </row>
    <row r="153">
      <c r="A153" s="11" t="inlineStr">
        <is>
          <t>T7 L1 W-B</t>
        </is>
      </c>
      <c r="B153" s="11" t="inlineStr">
        <is>
          <t>T7</t>
        </is>
      </c>
      <c r="C153" s="11" t="n">
        <v>0.639</v>
      </c>
      <c r="D153" s="11" t="n">
        <v>0.293</v>
      </c>
    </row>
    <row r="154">
      <c r="A154" s="11" t="inlineStr">
        <is>
          <t>T7 L1 W-T</t>
        </is>
      </c>
      <c r="B154" s="11" t="inlineStr">
        <is>
          <t>T7</t>
        </is>
      </c>
      <c r="C154" s="11" t="n">
        <v>0.538</v>
      </c>
      <c r="D154" s="11" t="n">
        <v>0.235</v>
      </c>
    </row>
    <row r="155">
      <c r="A155" s="11" t="inlineStr">
        <is>
          <t>T7 L2 E-B</t>
        </is>
      </c>
      <c r="B155" s="11" t="inlineStr">
        <is>
          <t>T7</t>
        </is>
      </c>
      <c r="C155" s="11" t="n">
        <v>0.656</v>
      </c>
      <c r="D155" s="11" t="n">
        <v>0.283</v>
      </c>
    </row>
    <row r="156">
      <c r="A156" s="11" t="inlineStr">
        <is>
          <t>T7 L2 E-T</t>
        </is>
      </c>
      <c r="B156" s="11" t="inlineStr">
        <is>
          <t>T7</t>
        </is>
      </c>
      <c r="C156" s="11" t="n">
        <v>0.665</v>
      </c>
      <c r="D156" s="11" t="n">
        <v>0.307</v>
      </c>
    </row>
    <row r="157">
      <c r="A157" s="11" t="inlineStr">
        <is>
          <t>T7 L2 N-B</t>
        </is>
      </c>
      <c r="B157" s="11" t="inlineStr">
        <is>
          <t>T7</t>
        </is>
      </c>
      <c r="C157" s="11" t="n">
        <v>0.628</v>
      </c>
      <c r="D157" s="11" t="n">
        <v>0.286</v>
      </c>
    </row>
    <row r="158">
      <c r="A158" s="11" t="inlineStr">
        <is>
          <t>T7 L2 N-T</t>
        </is>
      </c>
      <c r="B158" s="11" t="inlineStr">
        <is>
          <t>T7</t>
        </is>
      </c>
      <c r="C158" s="11" t="n">
        <v>0.55</v>
      </c>
      <c r="D158" s="11" t="n">
        <v>0.246</v>
      </c>
    </row>
    <row r="159">
      <c r="A159" s="11" t="inlineStr">
        <is>
          <t>T7 L2 S-B</t>
        </is>
      </c>
      <c r="B159" s="11" t="inlineStr">
        <is>
          <t>T7</t>
        </is>
      </c>
      <c r="C159" s="11" t="n">
        <v>0.773</v>
      </c>
      <c r="D159" s="11" t="n">
        <v>0.335</v>
      </c>
    </row>
    <row r="160">
      <c r="A160" s="11" t="inlineStr">
        <is>
          <t>T7 L2 S-T</t>
        </is>
      </c>
      <c r="B160" s="11" t="inlineStr">
        <is>
          <t>T7</t>
        </is>
      </c>
      <c r="C160" s="11" t="n">
        <v>0.958</v>
      </c>
      <c r="D160" s="11" t="n">
        <v>0.409</v>
      </c>
    </row>
    <row r="161">
      <c r="A161" s="11" t="inlineStr">
        <is>
          <t>T7 L2 W-B</t>
        </is>
      </c>
      <c r="B161" s="11" t="inlineStr">
        <is>
          <t>T7</t>
        </is>
      </c>
      <c r="C161" s="11" t="n">
        <v>0.602</v>
      </c>
      <c r="D161" s="11" t="n">
        <v>0.275</v>
      </c>
    </row>
    <row r="162">
      <c r="A162" s="11" t="inlineStr">
        <is>
          <t>T7 L2 W-T</t>
        </is>
      </c>
      <c r="B162" s="11" t="inlineStr">
        <is>
          <t>T7</t>
        </is>
      </c>
      <c r="C162" s="11" t="n">
        <v>0.6929999999999999</v>
      </c>
      <c r="D162" s="11" t="n">
        <v>0.301</v>
      </c>
    </row>
    <row r="163">
      <c r="A163" s="11" t="inlineStr">
        <is>
          <t>T7 L3 E-B</t>
        </is>
      </c>
      <c r="B163" s="11" t="inlineStr">
        <is>
          <t>T7</t>
        </is>
      </c>
      <c r="C163" s="11" t="n">
        <v>0.634</v>
      </c>
      <c r="D163" s="11" t="n">
        <v>0.285</v>
      </c>
    </row>
    <row r="164">
      <c r="A164" s="11" t="inlineStr">
        <is>
          <t>T7 L3 E-T</t>
        </is>
      </c>
      <c r="B164" s="11" t="inlineStr">
        <is>
          <t>T7</t>
        </is>
      </c>
      <c r="C164" s="11" t="n">
        <v>0.681</v>
      </c>
      <c r="D164" s="11" t="n">
        <v>0.298</v>
      </c>
    </row>
    <row r="165">
      <c r="A165" s="11" t="inlineStr">
        <is>
          <t>T7 L3 N-B</t>
        </is>
      </c>
      <c r="B165" s="11" t="inlineStr">
        <is>
          <t>T7</t>
        </is>
      </c>
      <c r="C165" s="11" t="n">
        <v>0.645</v>
      </c>
      <c r="D165" s="11" t="n">
        <v>0.288</v>
      </c>
    </row>
    <row r="166">
      <c r="A166" s="11" t="inlineStr">
        <is>
          <t>T7 L3 N-T</t>
        </is>
      </c>
      <c r="B166" s="11" t="inlineStr">
        <is>
          <t>T7</t>
        </is>
      </c>
      <c r="C166" s="11" t="n">
        <v>0.668</v>
      </c>
      <c r="D166" s="11" t="n">
        <v>0.294</v>
      </c>
    </row>
    <row r="167">
      <c r="A167" s="11" t="inlineStr">
        <is>
          <t>T7 L3 S-B</t>
        </is>
      </c>
      <c r="B167" s="11" t="inlineStr">
        <is>
          <t>T7</t>
        </is>
      </c>
      <c r="C167" s="11" t="n">
        <v>0.578</v>
      </c>
      <c r="D167" s="11" t="n">
        <v>0.279</v>
      </c>
    </row>
    <row r="168">
      <c r="A168" s="11" t="inlineStr">
        <is>
          <t>T7 L3 S-T</t>
        </is>
      </c>
      <c r="B168" s="11" t="inlineStr">
        <is>
          <t>T7</t>
        </is>
      </c>
      <c r="C168" s="11" t="n">
        <v>0.601</v>
      </c>
      <c r="D168" s="11" t="n">
        <v>0.282</v>
      </c>
    </row>
    <row r="169">
      <c r="A169" s="11" t="inlineStr">
        <is>
          <t>T7 L3 W-B</t>
        </is>
      </c>
      <c r="B169" s="11" t="inlineStr">
        <is>
          <t>T7</t>
        </is>
      </c>
      <c r="C169" s="11" t="n">
        <v>0.592</v>
      </c>
      <c r="D169" s="11" t="n">
        <v>0.27</v>
      </c>
    </row>
    <row r="170">
      <c r="A170" s="11" t="inlineStr">
        <is>
          <t>T7 L3 W-T</t>
        </is>
      </c>
      <c r="B170" s="11" t="inlineStr">
        <is>
          <t>T7</t>
        </is>
      </c>
      <c r="C170" s="11" t="n">
        <v>0.585</v>
      </c>
      <c r="D170" s="11" t="n">
        <v>0.242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8" customWidth="1" min="5" max="5"/>
    <col width="18" customWidth="1" min="6" max="6"/>
    <col width="22" customWidth="1" min="7" max="7"/>
  </cols>
  <sheetData>
    <row r="1">
      <c r="A1" s="7" t="inlineStr">
        <is>
          <t>CHLOROPHYLL CALCULATIONS - FORMULAS REFERENCE 'Raw Data' SHEET</t>
        </is>
      </c>
    </row>
    <row r="2">
      <c r="A2" s="12" t="inlineStr">
        <is>
          <t>Click any colored cell to see the formula in the formula bar</t>
        </is>
      </c>
    </row>
    <row r="3">
      <c r="A3" s="13" t="inlineStr">
        <is>
          <t>Sample</t>
        </is>
      </c>
      <c r="B3" s="13" t="inlineStr">
        <is>
          <t>Tree</t>
        </is>
      </c>
      <c r="C3" s="13" t="inlineStr">
        <is>
          <t>A645</t>
        </is>
      </c>
      <c r="D3" s="13" t="inlineStr">
        <is>
          <t>A663</t>
        </is>
      </c>
      <c r="E3" s="13" t="inlineStr">
        <is>
          <t>Chl a (μg/mL)</t>
        </is>
      </c>
      <c r="F3" s="13" t="inlineStr">
        <is>
          <t>Chl b (μg/mL)</t>
        </is>
      </c>
      <c r="G3" s="13" t="inlineStr">
        <is>
          <t>Total Chl (μg/mL)</t>
        </is>
      </c>
    </row>
    <row r="4">
      <c r="A4">
        <f>'Raw Data'!A3</f>
        <v/>
      </c>
      <c r="B4">
        <f>'Raw Data'!B3</f>
        <v/>
      </c>
      <c r="C4" s="14">
        <f>'Raw Data'!C3</f>
        <v/>
      </c>
      <c r="D4" s="14">
        <f>'Raw Data'!D3</f>
        <v/>
      </c>
      <c r="E4" s="15">
        <f>12.21*'Raw Data'!D3-2.81*'Raw Data'!C3</f>
        <v/>
      </c>
      <c r="F4" s="16">
        <f>20.13*'Raw Data'!C3-5.03*'Raw Data'!D3</f>
        <v/>
      </c>
      <c r="G4" s="17">
        <f>17.76*'Raw Data'!C3+7.43*'Raw Data'!D3</f>
        <v/>
      </c>
    </row>
    <row r="5">
      <c r="A5">
        <f>'Raw Data'!A4</f>
        <v/>
      </c>
      <c r="B5">
        <f>'Raw Data'!B4</f>
        <v/>
      </c>
      <c r="C5" s="14">
        <f>'Raw Data'!C4</f>
        <v/>
      </c>
      <c r="D5" s="14">
        <f>'Raw Data'!D4</f>
        <v/>
      </c>
      <c r="E5" s="15">
        <f>12.21*'Raw Data'!D4-2.81*'Raw Data'!C4</f>
        <v/>
      </c>
      <c r="F5" s="16">
        <f>20.13*'Raw Data'!C4-5.03*'Raw Data'!D4</f>
        <v/>
      </c>
      <c r="G5" s="17">
        <f>17.76*'Raw Data'!C4+7.43*'Raw Data'!D4</f>
        <v/>
      </c>
    </row>
    <row r="6">
      <c r="A6">
        <f>'Raw Data'!A5</f>
        <v/>
      </c>
      <c r="B6">
        <f>'Raw Data'!B5</f>
        <v/>
      </c>
      <c r="C6" s="14">
        <f>'Raw Data'!C5</f>
        <v/>
      </c>
      <c r="D6" s="14">
        <f>'Raw Data'!D5</f>
        <v/>
      </c>
      <c r="E6" s="15">
        <f>12.21*'Raw Data'!D5-2.81*'Raw Data'!C5</f>
        <v/>
      </c>
      <c r="F6" s="16">
        <f>20.13*'Raw Data'!C5-5.03*'Raw Data'!D5</f>
        <v/>
      </c>
      <c r="G6" s="17">
        <f>17.76*'Raw Data'!C5+7.43*'Raw Data'!D5</f>
        <v/>
      </c>
    </row>
    <row r="7">
      <c r="A7">
        <f>'Raw Data'!A6</f>
        <v/>
      </c>
      <c r="B7">
        <f>'Raw Data'!B6</f>
        <v/>
      </c>
      <c r="C7" s="14">
        <f>'Raw Data'!C6</f>
        <v/>
      </c>
      <c r="D7" s="14">
        <f>'Raw Data'!D6</f>
        <v/>
      </c>
      <c r="E7" s="15">
        <f>12.21*'Raw Data'!D6-2.81*'Raw Data'!C6</f>
        <v/>
      </c>
      <c r="F7" s="16">
        <f>20.13*'Raw Data'!C6-5.03*'Raw Data'!D6</f>
        <v/>
      </c>
      <c r="G7" s="17">
        <f>17.76*'Raw Data'!C6+7.43*'Raw Data'!D6</f>
        <v/>
      </c>
    </row>
    <row r="8">
      <c r="A8">
        <f>'Raw Data'!A7</f>
        <v/>
      </c>
      <c r="B8">
        <f>'Raw Data'!B7</f>
        <v/>
      </c>
      <c r="C8" s="14">
        <f>'Raw Data'!C7</f>
        <v/>
      </c>
      <c r="D8" s="14">
        <f>'Raw Data'!D7</f>
        <v/>
      </c>
      <c r="E8" s="15">
        <f>12.21*'Raw Data'!D7-2.81*'Raw Data'!C7</f>
        <v/>
      </c>
      <c r="F8" s="16">
        <f>20.13*'Raw Data'!C7-5.03*'Raw Data'!D7</f>
        <v/>
      </c>
      <c r="G8" s="17">
        <f>17.76*'Raw Data'!C7+7.43*'Raw Data'!D7</f>
        <v/>
      </c>
    </row>
    <row r="9">
      <c r="A9">
        <f>'Raw Data'!A8</f>
        <v/>
      </c>
      <c r="B9">
        <f>'Raw Data'!B8</f>
        <v/>
      </c>
      <c r="C9" s="14">
        <f>'Raw Data'!C8</f>
        <v/>
      </c>
      <c r="D9" s="14">
        <f>'Raw Data'!D8</f>
        <v/>
      </c>
      <c r="E9" s="15">
        <f>12.21*'Raw Data'!D8-2.81*'Raw Data'!C8</f>
        <v/>
      </c>
      <c r="F9" s="16">
        <f>20.13*'Raw Data'!C8-5.03*'Raw Data'!D8</f>
        <v/>
      </c>
      <c r="G9" s="17">
        <f>17.76*'Raw Data'!C8+7.43*'Raw Data'!D8</f>
        <v/>
      </c>
    </row>
    <row r="10">
      <c r="A10">
        <f>'Raw Data'!A9</f>
        <v/>
      </c>
      <c r="B10">
        <f>'Raw Data'!B9</f>
        <v/>
      </c>
      <c r="C10" s="14">
        <f>'Raw Data'!C9</f>
        <v/>
      </c>
      <c r="D10" s="14">
        <f>'Raw Data'!D9</f>
        <v/>
      </c>
      <c r="E10" s="15">
        <f>12.21*'Raw Data'!D9-2.81*'Raw Data'!C9</f>
        <v/>
      </c>
      <c r="F10" s="16">
        <f>20.13*'Raw Data'!C9-5.03*'Raw Data'!D9</f>
        <v/>
      </c>
      <c r="G10" s="17">
        <f>17.76*'Raw Data'!C9+7.43*'Raw Data'!D9</f>
        <v/>
      </c>
    </row>
    <row r="11">
      <c r="A11">
        <f>'Raw Data'!A10</f>
        <v/>
      </c>
      <c r="B11">
        <f>'Raw Data'!B10</f>
        <v/>
      </c>
      <c r="C11" s="14">
        <f>'Raw Data'!C10</f>
        <v/>
      </c>
      <c r="D11" s="14">
        <f>'Raw Data'!D10</f>
        <v/>
      </c>
      <c r="E11" s="15">
        <f>12.21*'Raw Data'!D10-2.81*'Raw Data'!C10</f>
        <v/>
      </c>
      <c r="F11" s="16">
        <f>20.13*'Raw Data'!C10-5.03*'Raw Data'!D10</f>
        <v/>
      </c>
      <c r="G11" s="17">
        <f>17.76*'Raw Data'!C10+7.43*'Raw Data'!D10</f>
        <v/>
      </c>
    </row>
    <row r="12">
      <c r="A12">
        <f>'Raw Data'!A11</f>
        <v/>
      </c>
      <c r="B12">
        <f>'Raw Data'!B11</f>
        <v/>
      </c>
      <c r="C12" s="14">
        <f>'Raw Data'!C11</f>
        <v/>
      </c>
      <c r="D12" s="14">
        <f>'Raw Data'!D11</f>
        <v/>
      </c>
      <c r="E12" s="15">
        <f>12.21*'Raw Data'!D11-2.81*'Raw Data'!C11</f>
        <v/>
      </c>
      <c r="F12" s="16">
        <f>20.13*'Raw Data'!C11-5.03*'Raw Data'!D11</f>
        <v/>
      </c>
      <c r="G12" s="17">
        <f>17.76*'Raw Data'!C11+7.43*'Raw Data'!D11</f>
        <v/>
      </c>
    </row>
    <row r="13">
      <c r="A13">
        <f>'Raw Data'!A12</f>
        <v/>
      </c>
      <c r="B13">
        <f>'Raw Data'!B12</f>
        <v/>
      </c>
      <c r="C13" s="14">
        <f>'Raw Data'!C12</f>
        <v/>
      </c>
      <c r="D13" s="14">
        <f>'Raw Data'!D12</f>
        <v/>
      </c>
      <c r="E13" s="15">
        <f>12.21*'Raw Data'!D12-2.81*'Raw Data'!C12</f>
        <v/>
      </c>
      <c r="F13" s="16">
        <f>20.13*'Raw Data'!C12-5.03*'Raw Data'!D12</f>
        <v/>
      </c>
      <c r="G13" s="17">
        <f>17.76*'Raw Data'!C12+7.43*'Raw Data'!D12</f>
        <v/>
      </c>
    </row>
    <row r="14">
      <c r="A14">
        <f>'Raw Data'!A13</f>
        <v/>
      </c>
      <c r="B14">
        <f>'Raw Data'!B13</f>
        <v/>
      </c>
      <c r="C14" s="14">
        <f>'Raw Data'!C13</f>
        <v/>
      </c>
      <c r="D14" s="14">
        <f>'Raw Data'!D13</f>
        <v/>
      </c>
      <c r="E14" s="15">
        <f>12.21*'Raw Data'!D13-2.81*'Raw Data'!C13</f>
        <v/>
      </c>
      <c r="F14" s="16">
        <f>20.13*'Raw Data'!C13-5.03*'Raw Data'!D13</f>
        <v/>
      </c>
      <c r="G14" s="17">
        <f>17.76*'Raw Data'!C13+7.43*'Raw Data'!D13</f>
        <v/>
      </c>
    </row>
    <row r="15">
      <c r="A15">
        <f>'Raw Data'!A14</f>
        <v/>
      </c>
      <c r="B15">
        <f>'Raw Data'!B14</f>
        <v/>
      </c>
      <c r="C15" s="14">
        <f>'Raw Data'!C14</f>
        <v/>
      </c>
      <c r="D15" s="14">
        <f>'Raw Data'!D14</f>
        <v/>
      </c>
      <c r="E15" s="15">
        <f>12.21*'Raw Data'!D14-2.81*'Raw Data'!C14</f>
        <v/>
      </c>
      <c r="F15" s="16">
        <f>20.13*'Raw Data'!C14-5.03*'Raw Data'!D14</f>
        <v/>
      </c>
      <c r="G15" s="17">
        <f>17.76*'Raw Data'!C14+7.43*'Raw Data'!D14</f>
        <v/>
      </c>
    </row>
    <row r="16">
      <c r="A16">
        <f>'Raw Data'!A15</f>
        <v/>
      </c>
      <c r="B16">
        <f>'Raw Data'!B15</f>
        <v/>
      </c>
      <c r="C16" s="14">
        <f>'Raw Data'!C15</f>
        <v/>
      </c>
      <c r="D16" s="14">
        <f>'Raw Data'!D15</f>
        <v/>
      </c>
      <c r="E16" s="15">
        <f>12.21*'Raw Data'!D15-2.81*'Raw Data'!C15</f>
        <v/>
      </c>
      <c r="F16" s="16">
        <f>20.13*'Raw Data'!C15-5.03*'Raw Data'!D15</f>
        <v/>
      </c>
      <c r="G16" s="17">
        <f>17.76*'Raw Data'!C15+7.43*'Raw Data'!D15</f>
        <v/>
      </c>
    </row>
    <row r="17">
      <c r="A17">
        <f>'Raw Data'!A16</f>
        <v/>
      </c>
      <c r="B17">
        <f>'Raw Data'!B16</f>
        <v/>
      </c>
      <c r="C17" s="14">
        <f>'Raw Data'!C16</f>
        <v/>
      </c>
      <c r="D17" s="14">
        <f>'Raw Data'!D16</f>
        <v/>
      </c>
      <c r="E17" s="15">
        <f>12.21*'Raw Data'!D16-2.81*'Raw Data'!C16</f>
        <v/>
      </c>
      <c r="F17" s="16">
        <f>20.13*'Raw Data'!C16-5.03*'Raw Data'!D16</f>
        <v/>
      </c>
      <c r="G17" s="17">
        <f>17.76*'Raw Data'!C16+7.43*'Raw Data'!D16</f>
        <v/>
      </c>
    </row>
    <row r="18">
      <c r="A18">
        <f>'Raw Data'!A17</f>
        <v/>
      </c>
      <c r="B18">
        <f>'Raw Data'!B17</f>
        <v/>
      </c>
      <c r="C18" s="14">
        <f>'Raw Data'!C17</f>
        <v/>
      </c>
      <c r="D18" s="14">
        <f>'Raw Data'!D17</f>
        <v/>
      </c>
      <c r="E18" s="15">
        <f>12.21*'Raw Data'!D17-2.81*'Raw Data'!C17</f>
        <v/>
      </c>
      <c r="F18" s="16">
        <f>20.13*'Raw Data'!C17-5.03*'Raw Data'!D17</f>
        <v/>
      </c>
      <c r="G18" s="17">
        <f>17.76*'Raw Data'!C17+7.43*'Raw Data'!D17</f>
        <v/>
      </c>
    </row>
    <row r="19">
      <c r="A19">
        <f>'Raw Data'!A18</f>
        <v/>
      </c>
      <c r="B19">
        <f>'Raw Data'!B18</f>
        <v/>
      </c>
      <c r="C19" s="14">
        <f>'Raw Data'!C18</f>
        <v/>
      </c>
      <c r="D19" s="14">
        <f>'Raw Data'!D18</f>
        <v/>
      </c>
      <c r="E19" s="15">
        <f>12.21*'Raw Data'!D18-2.81*'Raw Data'!C18</f>
        <v/>
      </c>
      <c r="F19" s="16">
        <f>20.13*'Raw Data'!C18-5.03*'Raw Data'!D18</f>
        <v/>
      </c>
      <c r="G19" s="17">
        <f>17.76*'Raw Data'!C18+7.43*'Raw Data'!D18</f>
        <v/>
      </c>
    </row>
    <row r="20">
      <c r="A20">
        <f>'Raw Data'!A19</f>
        <v/>
      </c>
      <c r="B20">
        <f>'Raw Data'!B19</f>
        <v/>
      </c>
      <c r="C20" s="14">
        <f>'Raw Data'!C19</f>
        <v/>
      </c>
      <c r="D20" s="14">
        <f>'Raw Data'!D19</f>
        <v/>
      </c>
      <c r="E20" s="15">
        <f>12.21*'Raw Data'!D19-2.81*'Raw Data'!C19</f>
        <v/>
      </c>
      <c r="F20" s="16">
        <f>20.13*'Raw Data'!C19-5.03*'Raw Data'!D19</f>
        <v/>
      </c>
      <c r="G20" s="17">
        <f>17.76*'Raw Data'!C19+7.43*'Raw Data'!D19</f>
        <v/>
      </c>
    </row>
    <row r="21">
      <c r="A21">
        <f>'Raw Data'!A20</f>
        <v/>
      </c>
      <c r="B21">
        <f>'Raw Data'!B20</f>
        <v/>
      </c>
      <c r="C21" s="14">
        <f>'Raw Data'!C20</f>
        <v/>
      </c>
      <c r="D21" s="14">
        <f>'Raw Data'!D20</f>
        <v/>
      </c>
      <c r="E21" s="15">
        <f>12.21*'Raw Data'!D20-2.81*'Raw Data'!C20</f>
        <v/>
      </c>
      <c r="F21" s="16">
        <f>20.13*'Raw Data'!C20-5.03*'Raw Data'!D20</f>
        <v/>
      </c>
      <c r="G21" s="17">
        <f>17.76*'Raw Data'!C20+7.43*'Raw Data'!D20</f>
        <v/>
      </c>
    </row>
    <row r="22">
      <c r="A22">
        <f>'Raw Data'!A21</f>
        <v/>
      </c>
      <c r="B22">
        <f>'Raw Data'!B21</f>
        <v/>
      </c>
      <c r="C22" s="14">
        <f>'Raw Data'!C21</f>
        <v/>
      </c>
      <c r="D22" s="14">
        <f>'Raw Data'!D21</f>
        <v/>
      </c>
      <c r="E22" s="15">
        <f>12.21*'Raw Data'!D21-2.81*'Raw Data'!C21</f>
        <v/>
      </c>
      <c r="F22" s="16">
        <f>20.13*'Raw Data'!C21-5.03*'Raw Data'!D21</f>
        <v/>
      </c>
      <c r="G22" s="17">
        <f>17.76*'Raw Data'!C21+7.43*'Raw Data'!D21</f>
        <v/>
      </c>
    </row>
    <row r="23">
      <c r="A23">
        <f>'Raw Data'!A22</f>
        <v/>
      </c>
      <c r="B23">
        <f>'Raw Data'!B22</f>
        <v/>
      </c>
      <c r="C23" s="14">
        <f>'Raw Data'!C22</f>
        <v/>
      </c>
      <c r="D23" s="14">
        <f>'Raw Data'!D22</f>
        <v/>
      </c>
      <c r="E23" s="15">
        <f>12.21*'Raw Data'!D22-2.81*'Raw Data'!C22</f>
        <v/>
      </c>
      <c r="F23" s="16">
        <f>20.13*'Raw Data'!C22-5.03*'Raw Data'!D22</f>
        <v/>
      </c>
      <c r="G23" s="17">
        <f>17.76*'Raw Data'!C22+7.43*'Raw Data'!D22</f>
        <v/>
      </c>
    </row>
    <row r="24">
      <c r="A24">
        <f>'Raw Data'!A23</f>
        <v/>
      </c>
      <c r="B24">
        <f>'Raw Data'!B23</f>
        <v/>
      </c>
      <c r="C24" s="14">
        <f>'Raw Data'!C23</f>
        <v/>
      </c>
      <c r="D24" s="14">
        <f>'Raw Data'!D23</f>
        <v/>
      </c>
      <c r="E24" s="15">
        <f>12.21*'Raw Data'!D23-2.81*'Raw Data'!C23</f>
        <v/>
      </c>
      <c r="F24" s="16">
        <f>20.13*'Raw Data'!C23-5.03*'Raw Data'!D23</f>
        <v/>
      </c>
      <c r="G24" s="17">
        <f>17.76*'Raw Data'!C23+7.43*'Raw Data'!D23</f>
        <v/>
      </c>
    </row>
    <row r="25">
      <c r="A25">
        <f>'Raw Data'!A24</f>
        <v/>
      </c>
      <c r="B25">
        <f>'Raw Data'!B24</f>
        <v/>
      </c>
      <c r="C25" s="14">
        <f>'Raw Data'!C24</f>
        <v/>
      </c>
      <c r="D25" s="14">
        <f>'Raw Data'!D24</f>
        <v/>
      </c>
      <c r="E25" s="15">
        <f>12.21*'Raw Data'!D24-2.81*'Raw Data'!C24</f>
        <v/>
      </c>
      <c r="F25" s="16">
        <f>20.13*'Raw Data'!C24-5.03*'Raw Data'!D24</f>
        <v/>
      </c>
      <c r="G25" s="17">
        <f>17.76*'Raw Data'!C24+7.43*'Raw Data'!D24</f>
        <v/>
      </c>
    </row>
    <row r="26">
      <c r="A26">
        <f>'Raw Data'!A25</f>
        <v/>
      </c>
      <c r="B26">
        <f>'Raw Data'!B25</f>
        <v/>
      </c>
      <c r="C26" s="14">
        <f>'Raw Data'!C25</f>
        <v/>
      </c>
      <c r="D26" s="14">
        <f>'Raw Data'!D25</f>
        <v/>
      </c>
      <c r="E26" s="15">
        <f>12.21*'Raw Data'!D25-2.81*'Raw Data'!C25</f>
        <v/>
      </c>
      <c r="F26" s="16">
        <f>20.13*'Raw Data'!C25-5.03*'Raw Data'!D25</f>
        <v/>
      </c>
      <c r="G26" s="17">
        <f>17.76*'Raw Data'!C25+7.43*'Raw Data'!D25</f>
        <v/>
      </c>
    </row>
    <row r="27">
      <c r="A27">
        <f>'Raw Data'!A26</f>
        <v/>
      </c>
      <c r="B27">
        <f>'Raw Data'!B26</f>
        <v/>
      </c>
      <c r="C27" s="14">
        <f>'Raw Data'!C26</f>
        <v/>
      </c>
      <c r="D27" s="14">
        <f>'Raw Data'!D26</f>
        <v/>
      </c>
      <c r="E27" s="15">
        <f>12.21*'Raw Data'!D26-2.81*'Raw Data'!C26</f>
        <v/>
      </c>
      <c r="F27" s="16">
        <f>20.13*'Raw Data'!C26-5.03*'Raw Data'!D26</f>
        <v/>
      </c>
      <c r="G27" s="17">
        <f>17.76*'Raw Data'!C26+7.43*'Raw Data'!D26</f>
        <v/>
      </c>
    </row>
    <row r="28">
      <c r="A28">
        <f>'Raw Data'!A27</f>
        <v/>
      </c>
      <c r="B28">
        <f>'Raw Data'!B27</f>
        <v/>
      </c>
      <c r="C28" s="14">
        <f>'Raw Data'!C27</f>
        <v/>
      </c>
      <c r="D28" s="14">
        <f>'Raw Data'!D27</f>
        <v/>
      </c>
      <c r="E28" s="15">
        <f>12.21*'Raw Data'!D27-2.81*'Raw Data'!C27</f>
        <v/>
      </c>
      <c r="F28" s="16">
        <f>20.13*'Raw Data'!C27-5.03*'Raw Data'!D27</f>
        <v/>
      </c>
      <c r="G28" s="17">
        <f>17.76*'Raw Data'!C27+7.43*'Raw Data'!D27</f>
        <v/>
      </c>
    </row>
    <row r="29">
      <c r="A29">
        <f>'Raw Data'!A28</f>
        <v/>
      </c>
      <c r="B29">
        <f>'Raw Data'!B28</f>
        <v/>
      </c>
      <c r="C29" s="14">
        <f>'Raw Data'!C28</f>
        <v/>
      </c>
      <c r="D29" s="14">
        <f>'Raw Data'!D28</f>
        <v/>
      </c>
      <c r="E29" s="15">
        <f>12.21*'Raw Data'!D28-2.81*'Raw Data'!C28</f>
        <v/>
      </c>
      <c r="F29" s="16">
        <f>20.13*'Raw Data'!C28-5.03*'Raw Data'!D28</f>
        <v/>
      </c>
      <c r="G29" s="17">
        <f>17.76*'Raw Data'!C28+7.43*'Raw Data'!D28</f>
        <v/>
      </c>
    </row>
    <row r="30">
      <c r="A30">
        <f>'Raw Data'!A29</f>
        <v/>
      </c>
      <c r="B30">
        <f>'Raw Data'!B29</f>
        <v/>
      </c>
      <c r="C30" s="14">
        <f>'Raw Data'!C29</f>
        <v/>
      </c>
      <c r="D30" s="14">
        <f>'Raw Data'!D29</f>
        <v/>
      </c>
      <c r="E30" s="15">
        <f>12.21*'Raw Data'!D29-2.81*'Raw Data'!C29</f>
        <v/>
      </c>
      <c r="F30" s="16">
        <f>20.13*'Raw Data'!C29-5.03*'Raw Data'!D29</f>
        <v/>
      </c>
      <c r="G30" s="17">
        <f>17.76*'Raw Data'!C29+7.43*'Raw Data'!D29</f>
        <v/>
      </c>
    </row>
    <row r="31">
      <c r="A31">
        <f>'Raw Data'!A30</f>
        <v/>
      </c>
      <c r="B31">
        <f>'Raw Data'!B30</f>
        <v/>
      </c>
      <c r="C31" s="14">
        <f>'Raw Data'!C30</f>
        <v/>
      </c>
      <c r="D31" s="14">
        <f>'Raw Data'!D30</f>
        <v/>
      </c>
      <c r="E31" s="15">
        <f>12.21*'Raw Data'!D30-2.81*'Raw Data'!C30</f>
        <v/>
      </c>
      <c r="F31" s="16">
        <f>20.13*'Raw Data'!C30-5.03*'Raw Data'!D30</f>
        <v/>
      </c>
      <c r="G31" s="17">
        <f>17.76*'Raw Data'!C30+7.43*'Raw Data'!D30</f>
        <v/>
      </c>
    </row>
    <row r="32">
      <c r="A32">
        <f>'Raw Data'!A31</f>
        <v/>
      </c>
      <c r="B32">
        <f>'Raw Data'!B31</f>
        <v/>
      </c>
      <c r="C32" s="14">
        <f>'Raw Data'!C31</f>
        <v/>
      </c>
      <c r="D32" s="14">
        <f>'Raw Data'!D31</f>
        <v/>
      </c>
      <c r="E32" s="15">
        <f>12.21*'Raw Data'!D31-2.81*'Raw Data'!C31</f>
        <v/>
      </c>
      <c r="F32" s="16">
        <f>20.13*'Raw Data'!C31-5.03*'Raw Data'!D31</f>
        <v/>
      </c>
      <c r="G32" s="17">
        <f>17.76*'Raw Data'!C31+7.43*'Raw Data'!D31</f>
        <v/>
      </c>
    </row>
    <row r="33">
      <c r="A33">
        <f>'Raw Data'!A32</f>
        <v/>
      </c>
      <c r="B33">
        <f>'Raw Data'!B32</f>
        <v/>
      </c>
      <c r="C33" s="14">
        <f>'Raw Data'!C32</f>
        <v/>
      </c>
      <c r="D33" s="14">
        <f>'Raw Data'!D32</f>
        <v/>
      </c>
      <c r="E33" s="15">
        <f>12.21*'Raw Data'!D32-2.81*'Raw Data'!C32</f>
        <v/>
      </c>
      <c r="F33" s="16">
        <f>20.13*'Raw Data'!C32-5.03*'Raw Data'!D32</f>
        <v/>
      </c>
      <c r="G33" s="17">
        <f>17.76*'Raw Data'!C32+7.43*'Raw Data'!D32</f>
        <v/>
      </c>
    </row>
    <row r="34">
      <c r="A34">
        <f>'Raw Data'!A33</f>
        <v/>
      </c>
      <c r="B34">
        <f>'Raw Data'!B33</f>
        <v/>
      </c>
      <c r="C34" s="14">
        <f>'Raw Data'!C33</f>
        <v/>
      </c>
      <c r="D34" s="14">
        <f>'Raw Data'!D33</f>
        <v/>
      </c>
      <c r="E34" s="15">
        <f>12.21*'Raw Data'!D33-2.81*'Raw Data'!C33</f>
        <v/>
      </c>
      <c r="F34" s="16">
        <f>20.13*'Raw Data'!C33-5.03*'Raw Data'!D33</f>
        <v/>
      </c>
      <c r="G34" s="17">
        <f>17.76*'Raw Data'!C33+7.43*'Raw Data'!D33</f>
        <v/>
      </c>
    </row>
    <row r="35">
      <c r="A35">
        <f>'Raw Data'!A34</f>
        <v/>
      </c>
      <c r="B35">
        <f>'Raw Data'!B34</f>
        <v/>
      </c>
      <c r="C35" s="14">
        <f>'Raw Data'!C34</f>
        <v/>
      </c>
      <c r="D35" s="14">
        <f>'Raw Data'!D34</f>
        <v/>
      </c>
      <c r="E35" s="15">
        <f>12.21*'Raw Data'!D34-2.81*'Raw Data'!C34</f>
        <v/>
      </c>
      <c r="F35" s="16">
        <f>20.13*'Raw Data'!C34-5.03*'Raw Data'!D34</f>
        <v/>
      </c>
      <c r="G35" s="17">
        <f>17.76*'Raw Data'!C34+7.43*'Raw Data'!D34</f>
        <v/>
      </c>
    </row>
    <row r="36">
      <c r="A36">
        <f>'Raw Data'!A35</f>
        <v/>
      </c>
      <c r="B36">
        <f>'Raw Data'!B35</f>
        <v/>
      </c>
      <c r="C36" s="14">
        <f>'Raw Data'!C35</f>
        <v/>
      </c>
      <c r="D36" s="14">
        <f>'Raw Data'!D35</f>
        <v/>
      </c>
      <c r="E36" s="15">
        <f>12.21*'Raw Data'!D35-2.81*'Raw Data'!C35</f>
        <v/>
      </c>
      <c r="F36" s="16">
        <f>20.13*'Raw Data'!C35-5.03*'Raw Data'!D35</f>
        <v/>
      </c>
      <c r="G36" s="17">
        <f>17.76*'Raw Data'!C35+7.43*'Raw Data'!D35</f>
        <v/>
      </c>
    </row>
    <row r="37">
      <c r="A37">
        <f>'Raw Data'!A36</f>
        <v/>
      </c>
      <c r="B37">
        <f>'Raw Data'!B36</f>
        <v/>
      </c>
      <c r="C37" s="14">
        <f>'Raw Data'!C36</f>
        <v/>
      </c>
      <c r="D37" s="14">
        <f>'Raw Data'!D36</f>
        <v/>
      </c>
      <c r="E37" s="15">
        <f>12.21*'Raw Data'!D36-2.81*'Raw Data'!C36</f>
        <v/>
      </c>
      <c r="F37" s="16">
        <f>20.13*'Raw Data'!C36-5.03*'Raw Data'!D36</f>
        <v/>
      </c>
      <c r="G37" s="17">
        <f>17.76*'Raw Data'!C36+7.43*'Raw Data'!D36</f>
        <v/>
      </c>
    </row>
    <row r="38">
      <c r="A38">
        <f>'Raw Data'!A37</f>
        <v/>
      </c>
      <c r="B38">
        <f>'Raw Data'!B37</f>
        <v/>
      </c>
      <c r="C38" s="14">
        <f>'Raw Data'!C37</f>
        <v/>
      </c>
      <c r="D38" s="14">
        <f>'Raw Data'!D37</f>
        <v/>
      </c>
      <c r="E38" s="15">
        <f>12.21*'Raw Data'!D37-2.81*'Raw Data'!C37</f>
        <v/>
      </c>
      <c r="F38" s="16">
        <f>20.13*'Raw Data'!C37-5.03*'Raw Data'!D37</f>
        <v/>
      </c>
      <c r="G38" s="17">
        <f>17.76*'Raw Data'!C37+7.43*'Raw Data'!D37</f>
        <v/>
      </c>
    </row>
    <row r="39">
      <c r="A39">
        <f>'Raw Data'!A38</f>
        <v/>
      </c>
      <c r="B39">
        <f>'Raw Data'!B38</f>
        <v/>
      </c>
      <c r="C39" s="14">
        <f>'Raw Data'!C38</f>
        <v/>
      </c>
      <c r="D39" s="14">
        <f>'Raw Data'!D38</f>
        <v/>
      </c>
      <c r="E39" s="15">
        <f>12.21*'Raw Data'!D38-2.81*'Raw Data'!C38</f>
        <v/>
      </c>
      <c r="F39" s="16">
        <f>20.13*'Raw Data'!C38-5.03*'Raw Data'!D38</f>
        <v/>
      </c>
      <c r="G39" s="17">
        <f>17.76*'Raw Data'!C38+7.43*'Raw Data'!D38</f>
        <v/>
      </c>
    </row>
    <row r="40">
      <c r="A40">
        <f>'Raw Data'!A39</f>
        <v/>
      </c>
      <c r="B40">
        <f>'Raw Data'!B39</f>
        <v/>
      </c>
      <c r="C40" s="14">
        <f>'Raw Data'!C39</f>
        <v/>
      </c>
      <c r="D40" s="14">
        <f>'Raw Data'!D39</f>
        <v/>
      </c>
      <c r="E40" s="15">
        <f>12.21*'Raw Data'!D39-2.81*'Raw Data'!C39</f>
        <v/>
      </c>
      <c r="F40" s="16">
        <f>20.13*'Raw Data'!C39-5.03*'Raw Data'!D39</f>
        <v/>
      </c>
      <c r="G40" s="17">
        <f>17.76*'Raw Data'!C39+7.43*'Raw Data'!D39</f>
        <v/>
      </c>
    </row>
    <row r="41">
      <c r="A41">
        <f>'Raw Data'!A40</f>
        <v/>
      </c>
      <c r="B41">
        <f>'Raw Data'!B40</f>
        <v/>
      </c>
      <c r="C41" s="14">
        <f>'Raw Data'!C40</f>
        <v/>
      </c>
      <c r="D41" s="14">
        <f>'Raw Data'!D40</f>
        <v/>
      </c>
      <c r="E41" s="15">
        <f>12.21*'Raw Data'!D40-2.81*'Raw Data'!C40</f>
        <v/>
      </c>
      <c r="F41" s="16">
        <f>20.13*'Raw Data'!C40-5.03*'Raw Data'!D40</f>
        <v/>
      </c>
      <c r="G41" s="17">
        <f>17.76*'Raw Data'!C40+7.43*'Raw Data'!D40</f>
        <v/>
      </c>
    </row>
    <row r="42">
      <c r="A42">
        <f>'Raw Data'!A41</f>
        <v/>
      </c>
      <c r="B42">
        <f>'Raw Data'!B41</f>
        <v/>
      </c>
      <c r="C42" s="14">
        <f>'Raw Data'!C41</f>
        <v/>
      </c>
      <c r="D42" s="14">
        <f>'Raw Data'!D41</f>
        <v/>
      </c>
      <c r="E42" s="15">
        <f>12.21*'Raw Data'!D41-2.81*'Raw Data'!C41</f>
        <v/>
      </c>
      <c r="F42" s="16">
        <f>20.13*'Raw Data'!C41-5.03*'Raw Data'!D41</f>
        <v/>
      </c>
      <c r="G42" s="17">
        <f>17.76*'Raw Data'!C41+7.43*'Raw Data'!D41</f>
        <v/>
      </c>
    </row>
    <row r="43">
      <c r="A43">
        <f>'Raw Data'!A42</f>
        <v/>
      </c>
      <c r="B43">
        <f>'Raw Data'!B42</f>
        <v/>
      </c>
      <c r="C43" s="14">
        <f>'Raw Data'!C42</f>
        <v/>
      </c>
      <c r="D43" s="14">
        <f>'Raw Data'!D42</f>
        <v/>
      </c>
      <c r="E43" s="15">
        <f>12.21*'Raw Data'!D42-2.81*'Raw Data'!C42</f>
        <v/>
      </c>
      <c r="F43" s="16">
        <f>20.13*'Raw Data'!C42-5.03*'Raw Data'!D42</f>
        <v/>
      </c>
      <c r="G43" s="17">
        <f>17.76*'Raw Data'!C42+7.43*'Raw Data'!D42</f>
        <v/>
      </c>
    </row>
    <row r="44">
      <c r="A44">
        <f>'Raw Data'!A43</f>
        <v/>
      </c>
      <c r="B44">
        <f>'Raw Data'!B43</f>
        <v/>
      </c>
      <c r="C44" s="14">
        <f>'Raw Data'!C43</f>
        <v/>
      </c>
      <c r="D44" s="14">
        <f>'Raw Data'!D43</f>
        <v/>
      </c>
      <c r="E44" s="15">
        <f>12.21*'Raw Data'!D43-2.81*'Raw Data'!C43</f>
        <v/>
      </c>
      <c r="F44" s="16">
        <f>20.13*'Raw Data'!C43-5.03*'Raw Data'!D43</f>
        <v/>
      </c>
      <c r="G44" s="17">
        <f>17.76*'Raw Data'!C43+7.43*'Raw Data'!D43</f>
        <v/>
      </c>
    </row>
    <row r="45">
      <c r="A45">
        <f>'Raw Data'!A44</f>
        <v/>
      </c>
      <c r="B45">
        <f>'Raw Data'!B44</f>
        <v/>
      </c>
      <c r="C45" s="14">
        <f>'Raw Data'!C44</f>
        <v/>
      </c>
      <c r="D45" s="14">
        <f>'Raw Data'!D44</f>
        <v/>
      </c>
      <c r="E45" s="15">
        <f>12.21*'Raw Data'!D44-2.81*'Raw Data'!C44</f>
        <v/>
      </c>
      <c r="F45" s="16">
        <f>20.13*'Raw Data'!C44-5.03*'Raw Data'!D44</f>
        <v/>
      </c>
      <c r="G45" s="17">
        <f>17.76*'Raw Data'!C44+7.43*'Raw Data'!D44</f>
        <v/>
      </c>
    </row>
    <row r="46">
      <c r="A46">
        <f>'Raw Data'!A45</f>
        <v/>
      </c>
      <c r="B46">
        <f>'Raw Data'!B45</f>
        <v/>
      </c>
      <c r="C46" s="14">
        <f>'Raw Data'!C45</f>
        <v/>
      </c>
      <c r="D46" s="14">
        <f>'Raw Data'!D45</f>
        <v/>
      </c>
      <c r="E46" s="15">
        <f>12.21*'Raw Data'!D45-2.81*'Raw Data'!C45</f>
        <v/>
      </c>
      <c r="F46" s="16">
        <f>20.13*'Raw Data'!C45-5.03*'Raw Data'!D45</f>
        <v/>
      </c>
      <c r="G46" s="17">
        <f>17.76*'Raw Data'!C45+7.43*'Raw Data'!D45</f>
        <v/>
      </c>
    </row>
    <row r="47">
      <c r="A47">
        <f>'Raw Data'!A46</f>
        <v/>
      </c>
      <c r="B47">
        <f>'Raw Data'!B46</f>
        <v/>
      </c>
      <c r="C47" s="14">
        <f>'Raw Data'!C46</f>
        <v/>
      </c>
      <c r="D47" s="14">
        <f>'Raw Data'!D46</f>
        <v/>
      </c>
      <c r="E47" s="15">
        <f>12.21*'Raw Data'!D46-2.81*'Raw Data'!C46</f>
        <v/>
      </c>
      <c r="F47" s="16">
        <f>20.13*'Raw Data'!C46-5.03*'Raw Data'!D46</f>
        <v/>
      </c>
      <c r="G47" s="17">
        <f>17.76*'Raw Data'!C46+7.43*'Raw Data'!D46</f>
        <v/>
      </c>
    </row>
    <row r="48">
      <c r="A48">
        <f>'Raw Data'!A47</f>
        <v/>
      </c>
      <c r="B48">
        <f>'Raw Data'!B47</f>
        <v/>
      </c>
      <c r="C48" s="14">
        <f>'Raw Data'!C47</f>
        <v/>
      </c>
      <c r="D48" s="14">
        <f>'Raw Data'!D47</f>
        <v/>
      </c>
      <c r="E48" s="15">
        <f>12.21*'Raw Data'!D47-2.81*'Raw Data'!C47</f>
        <v/>
      </c>
      <c r="F48" s="16">
        <f>20.13*'Raw Data'!C47-5.03*'Raw Data'!D47</f>
        <v/>
      </c>
      <c r="G48" s="17">
        <f>17.76*'Raw Data'!C47+7.43*'Raw Data'!D47</f>
        <v/>
      </c>
    </row>
    <row r="49">
      <c r="A49">
        <f>'Raw Data'!A48</f>
        <v/>
      </c>
      <c r="B49">
        <f>'Raw Data'!B48</f>
        <v/>
      </c>
      <c r="C49" s="14">
        <f>'Raw Data'!C48</f>
        <v/>
      </c>
      <c r="D49" s="14">
        <f>'Raw Data'!D48</f>
        <v/>
      </c>
      <c r="E49" s="15">
        <f>12.21*'Raw Data'!D48-2.81*'Raw Data'!C48</f>
        <v/>
      </c>
      <c r="F49" s="16">
        <f>20.13*'Raw Data'!C48-5.03*'Raw Data'!D48</f>
        <v/>
      </c>
      <c r="G49" s="17">
        <f>17.76*'Raw Data'!C48+7.43*'Raw Data'!D48</f>
        <v/>
      </c>
    </row>
    <row r="50">
      <c r="A50">
        <f>'Raw Data'!A49</f>
        <v/>
      </c>
      <c r="B50">
        <f>'Raw Data'!B49</f>
        <v/>
      </c>
      <c r="C50" s="14">
        <f>'Raw Data'!C49</f>
        <v/>
      </c>
      <c r="D50" s="14">
        <f>'Raw Data'!D49</f>
        <v/>
      </c>
      <c r="E50" s="15">
        <f>12.21*'Raw Data'!D49-2.81*'Raw Data'!C49</f>
        <v/>
      </c>
      <c r="F50" s="16">
        <f>20.13*'Raw Data'!C49-5.03*'Raw Data'!D49</f>
        <v/>
      </c>
      <c r="G50" s="17">
        <f>17.76*'Raw Data'!C49+7.43*'Raw Data'!D49</f>
        <v/>
      </c>
    </row>
    <row r="51">
      <c r="A51">
        <f>'Raw Data'!A50</f>
        <v/>
      </c>
      <c r="B51">
        <f>'Raw Data'!B50</f>
        <v/>
      </c>
      <c r="C51" s="14">
        <f>'Raw Data'!C50</f>
        <v/>
      </c>
      <c r="D51" s="14">
        <f>'Raw Data'!D50</f>
        <v/>
      </c>
      <c r="E51" s="15">
        <f>12.21*'Raw Data'!D50-2.81*'Raw Data'!C50</f>
        <v/>
      </c>
      <c r="F51" s="16">
        <f>20.13*'Raw Data'!C50-5.03*'Raw Data'!D50</f>
        <v/>
      </c>
      <c r="G51" s="17">
        <f>17.76*'Raw Data'!C50+7.43*'Raw Data'!D50</f>
        <v/>
      </c>
    </row>
    <row r="52">
      <c r="A52">
        <f>'Raw Data'!A51</f>
        <v/>
      </c>
      <c r="B52">
        <f>'Raw Data'!B51</f>
        <v/>
      </c>
      <c r="C52" s="14">
        <f>'Raw Data'!C51</f>
        <v/>
      </c>
      <c r="D52" s="14">
        <f>'Raw Data'!D51</f>
        <v/>
      </c>
      <c r="E52" s="15">
        <f>12.21*'Raw Data'!D51-2.81*'Raw Data'!C51</f>
        <v/>
      </c>
      <c r="F52" s="16">
        <f>20.13*'Raw Data'!C51-5.03*'Raw Data'!D51</f>
        <v/>
      </c>
      <c r="G52" s="17">
        <f>17.76*'Raw Data'!C51+7.43*'Raw Data'!D51</f>
        <v/>
      </c>
    </row>
    <row r="53">
      <c r="A53">
        <f>'Raw Data'!A52</f>
        <v/>
      </c>
      <c r="B53">
        <f>'Raw Data'!B52</f>
        <v/>
      </c>
      <c r="C53" s="14">
        <f>'Raw Data'!C52</f>
        <v/>
      </c>
      <c r="D53" s="14">
        <f>'Raw Data'!D52</f>
        <v/>
      </c>
      <c r="E53" s="15">
        <f>12.21*'Raw Data'!D52-2.81*'Raw Data'!C52</f>
        <v/>
      </c>
      <c r="F53" s="16">
        <f>20.13*'Raw Data'!C52-5.03*'Raw Data'!D52</f>
        <v/>
      </c>
      <c r="G53" s="17">
        <f>17.76*'Raw Data'!C52+7.43*'Raw Data'!D52</f>
        <v/>
      </c>
    </row>
    <row r="54">
      <c r="A54">
        <f>'Raw Data'!A53</f>
        <v/>
      </c>
      <c r="B54">
        <f>'Raw Data'!B53</f>
        <v/>
      </c>
      <c r="C54" s="14">
        <f>'Raw Data'!C53</f>
        <v/>
      </c>
      <c r="D54" s="14">
        <f>'Raw Data'!D53</f>
        <v/>
      </c>
      <c r="E54" s="15">
        <f>12.21*'Raw Data'!D53-2.81*'Raw Data'!C53</f>
        <v/>
      </c>
      <c r="F54" s="16">
        <f>20.13*'Raw Data'!C53-5.03*'Raw Data'!D53</f>
        <v/>
      </c>
      <c r="G54" s="17">
        <f>17.76*'Raw Data'!C53+7.43*'Raw Data'!D53</f>
        <v/>
      </c>
    </row>
    <row r="55">
      <c r="A55">
        <f>'Raw Data'!A54</f>
        <v/>
      </c>
      <c r="B55">
        <f>'Raw Data'!B54</f>
        <v/>
      </c>
      <c r="C55" s="14">
        <f>'Raw Data'!C54</f>
        <v/>
      </c>
      <c r="D55" s="14">
        <f>'Raw Data'!D54</f>
        <v/>
      </c>
      <c r="E55" s="15">
        <f>12.21*'Raw Data'!D54-2.81*'Raw Data'!C54</f>
        <v/>
      </c>
      <c r="F55" s="16">
        <f>20.13*'Raw Data'!C54-5.03*'Raw Data'!D54</f>
        <v/>
      </c>
      <c r="G55" s="17">
        <f>17.76*'Raw Data'!C54+7.43*'Raw Data'!D54</f>
        <v/>
      </c>
    </row>
    <row r="56">
      <c r="A56">
        <f>'Raw Data'!A55</f>
        <v/>
      </c>
      <c r="B56">
        <f>'Raw Data'!B55</f>
        <v/>
      </c>
      <c r="C56" s="14">
        <f>'Raw Data'!C55</f>
        <v/>
      </c>
      <c r="D56" s="14">
        <f>'Raw Data'!D55</f>
        <v/>
      </c>
      <c r="E56" s="15">
        <f>12.21*'Raw Data'!D55-2.81*'Raw Data'!C55</f>
        <v/>
      </c>
      <c r="F56" s="16">
        <f>20.13*'Raw Data'!C55-5.03*'Raw Data'!D55</f>
        <v/>
      </c>
      <c r="G56" s="17">
        <f>17.76*'Raw Data'!C55+7.43*'Raw Data'!D55</f>
        <v/>
      </c>
    </row>
    <row r="57">
      <c r="A57">
        <f>'Raw Data'!A56</f>
        <v/>
      </c>
      <c r="B57">
        <f>'Raw Data'!B56</f>
        <v/>
      </c>
      <c r="C57" s="14">
        <f>'Raw Data'!C56</f>
        <v/>
      </c>
      <c r="D57" s="14">
        <f>'Raw Data'!D56</f>
        <v/>
      </c>
      <c r="E57" s="15">
        <f>12.21*'Raw Data'!D56-2.81*'Raw Data'!C56</f>
        <v/>
      </c>
      <c r="F57" s="16">
        <f>20.13*'Raw Data'!C56-5.03*'Raw Data'!D56</f>
        <v/>
      </c>
      <c r="G57" s="17">
        <f>17.76*'Raw Data'!C56+7.43*'Raw Data'!D56</f>
        <v/>
      </c>
    </row>
    <row r="58">
      <c r="A58">
        <f>'Raw Data'!A57</f>
        <v/>
      </c>
      <c r="B58">
        <f>'Raw Data'!B57</f>
        <v/>
      </c>
      <c r="C58" s="14">
        <f>'Raw Data'!C57</f>
        <v/>
      </c>
      <c r="D58" s="14">
        <f>'Raw Data'!D57</f>
        <v/>
      </c>
      <c r="E58" s="15">
        <f>12.21*'Raw Data'!D57-2.81*'Raw Data'!C57</f>
        <v/>
      </c>
      <c r="F58" s="16">
        <f>20.13*'Raw Data'!C57-5.03*'Raw Data'!D57</f>
        <v/>
      </c>
      <c r="G58" s="17">
        <f>17.76*'Raw Data'!C57+7.43*'Raw Data'!D57</f>
        <v/>
      </c>
    </row>
    <row r="59">
      <c r="A59">
        <f>'Raw Data'!A58</f>
        <v/>
      </c>
      <c r="B59">
        <f>'Raw Data'!B58</f>
        <v/>
      </c>
      <c r="C59" s="14">
        <f>'Raw Data'!C58</f>
        <v/>
      </c>
      <c r="D59" s="14">
        <f>'Raw Data'!D58</f>
        <v/>
      </c>
      <c r="E59" s="15">
        <f>12.21*'Raw Data'!D58-2.81*'Raw Data'!C58</f>
        <v/>
      </c>
      <c r="F59" s="16">
        <f>20.13*'Raw Data'!C58-5.03*'Raw Data'!D58</f>
        <v/>
      </c>
      <c r="G59" s="17">
        <f>17.76*'Raw Data'!C58+7.43*'Raw Data'!D58</f>
        <v/>
      </c>
    </row>
    <row r="60">
      <c r="A60">
        <f>'Raw Data'!A59</f>
        <v/>
      </c>
      <c r="B60">
        <f>'Raw Data'!B59</f>
        <v/>
      </c>
      <c r="C60" s="14">
        <f>'Raw Data'!C59</f>
        <v/>
      </c>
      <c r="D60" s="14">
        <f>'Raw Data'!D59</f>
        <v/>
      </c>
      <c r="E60" s="15">
        <f>12.21*'Raw Data'!D59-2.81*'Raw Data'!C59</f>
        <v/>
      </c>
      <c r="F60" s="16">
        <f>20.13*'Raw Data'!C59-5.03*'Raw Data'!D59</f>
        <v/>
      </c>
      <c r="G60" s="17">
        <f>17.76*'Raw Data'!C59+7.43*'Raw Data'!D59</f>
        <v/>
      </c>
    </row>
    <row r="61">
      <c r="A61">
        <f>'Raw Data'!A60</f>
        <v/>
      </c>
      <c r="B61">
        <f>'Raw Data'!B60</f>
        <v/>
      </c>
      <c r="C61" s="14">
        <f>'Raw Data'!C60</f>
        <v/>
      </c>
      <c r="D61" s="14">
        <f>'Raw Data'!D60</f>
        <v/>
      </c>
      <c r="E61" s="15">
        <f>12.21*'Raw Data'!D60-2.81*'Raw Data'!C60</f>
        <v/>
      </c>
      <c r="F61" s="16">
        <f>20.13*'Raw Data'!C60-5.03*'Raw Data'!D60</f>
        <v/>
      </c>
      <c r="G61" s="17">
        <f>17.76*'Raw Data'!C60+7.43*'Raw Data'!D60</f>
        <v/>
      </c>
    </row>
    <row r="62">
      <c r="A62">
        <f>'Raw Data'!A61</f>
        <v/>
      </c>
      <c r="B62">
        <f>'Raw Data'!B61</f>
        <v/>
      </c>
      <c r="C62" s="14">
        <f>'Raw Data'!C61</f>
        <v/>
      </c>
      <c r="D62" s="14">
        <f>'Raw Data'!D61</f>
        <v/>
      </c>
      <c r="E62" s="15">
        <f>12.21*'Raw Data'!D61-2.81*'Raw Data'!C61</f>
        <v/>
      </c>
      <c r="F62" s="16">
        <f>20.13*'Raw Data'!C61-5.03*'Raw Data'!D61</f>
        <v/>
      </c>
      <c r="G62" s="17">
        <f>17.76*'Raw Data'!C61+7.43*'Raw Data'!D61</f>
        <v/>
      </c>
    </row>
    <row r="63">
      <c r="A63">
        <f>'Raw Data'!A62</f>
        <v/>
      </c>
      <c r="B63">
        <f>'Raw Data'!B62</f>
        <v/>
      </c>
      <c r="C63" s="14">
        <f>'Raw Data'!C62</f>
        <v/>
      </c>
      <c r="D63" s="14">
        <f>'Raw Data'!D62</f>
        <v/>
      </c>
      <c r="E63" s="15">
        <f>12.21*'Raw Data'!D62-2.81*'Raw Data'!C62</f>
        <v/>
      </c>
      <c r="F63" s="16">
        <f>20.13*'Raw Data'!C62-5.03*'Raw Data'!D62</f>
        <v/>
      </c>
      <c r="G63" s="17">
        <f>17.76*'Raw Data'!C62+7.43*'Raw Data'!D62</f>
        <v/>
      </c>
    </row>
    <row r="64">
      <c r="A64">
        <f>'Raw Data'!A63</f>
        <v/>
      </c>
      <c r="B64">
        <f>'Raw Data'!B63</f>
        <v/>
      </c>
      <c r="C64" s="14">
        <f>'Raw Data'!C63</f>
        <v/>
      </c>
      <c r="D64" s="14">
        <f>'Raw Data'!D63</f>
        <v/>
      </c>
      <c r="E64" s="15">
        <f>12.21*'Raw Data'!D63-2.81*'Raw Data'!C63</f>
        <v/>
      </c>
      <c r="F64" s="16">
        <f>20.13*'Raw Data'!C63-5.03*'Raw Data'!D63</f>
        <v/>
      </c>
      <c r="G64" s="17">
        <f>17.76*'Raw Data'!C63+7.43*'Raw Data'!D63</f>
        <v/>
      </c>
    </row>
    <row r="65">
      <c r="A65">
        <f>'Raw Data'!A64</f>
        <v/>
      </c>
      <c r="B65">
        <f>'Raw Data'!B64</f>
        <v/>
      </c>
      <c r="C65" s="14">
        <f>'Raw Data'!C64</f>
        <v/>
      </c>
      <c r="D65" s="14">
        <f>'Raw Data'!D64</f>
        <v/>
      </c>
      <c r="E65" s="15">
        <f>12.21*'Raw Data'!D64-2.81*'Raw Data'!C64</f>
        <v/>
      </c>
      <c r="F65" s="16">
        <f>20.13*'Raw Data'!C64-5.03*'Raw Data'!D64</f>
        <v/>
      </c>
      <c r="G65" s="17">
        <f>17.76*'Raw Data'!C64+7.43*'Raw Data'!D64</f>
        <v/>
      </c>
    </row>
    <row r="66">
      <c r="A66">
        <f>'Raw Data'!A65</f>
        <v/>
      </c>
      <c r="B66">
        <f>'Raw Data'!B65</f>
        <v/>
      </c>
      <c r="C66" s="14">
        <f>'Raw Data'!C65</f>
        <v/>
      </c>
      <c r="D66" s="14">
        <f>'Raw Data'!D65</f>
        <v/>
      </c>
      <c r="E66" s="15">
        <f>12.21*'Raw Data'!D65-2.81*'Raw Data'!C65</f>
        <v/>
      </c>
      <c r="F66" s="16">
        <f>20.13*'Raw Data'!C65-5.03*'Raw Data'!D65</f>
        <v/>
      </c>
      <c r="G66" s="17">
        <f>17.76*'Raw Data'!C65+7.43*'Raw Data'!D65</f>
        <v/>
      </c>
    </row>
    <row r="67">
      <c r="A67">
        <f>'Raw Data'!A66</f>
        <v/>
      </c>
      <c r="B67">
        <f>'Raw Data'!B66</f>
        <v/>
      </c>
      <c r="C67" s="14">
        <f>'Raw Data'!C66</f>
        <v/>
      </c>
      <c r="D67" s="14">
        <f>'Raw Data'!D66</f>
        <v/>
      </c>
      <c r="E67" s="15">
        <f>12.21*'Raw Data'!D66-2.81*'Raw Data'!C66</f>
        <v/>
      </c>
      <c r="F67" s="16">
        <f>20.13*'Raw Data'!C66-5.03*'Raw Data'!D66</f>
        <v/>
      </c>
      <c r="G67" s="17">
        <f>17.76*'Raw Data'!C66+7.43*'Raw Data'!D66</f>
        <v/>
      </c>
    </row>
    <row r="68">
      <c r="A68">
        <f>'Raw Data'!A67</f>
        <v/>
      </c>
      <c r="B68">
        <f>'Raw Data'!B67</f>
        <v/>
      </c>
      <c r="C68" s="14">
        <f>'Raw Data'!C67</f>
        <v/>
      </c>
      <c r="D68" s="14">
        <f>'Raw Data'!D67</f>
        <v/>
      </c>
      <c r="E68" s="15">
        <f>12.21*'Raw Data'!D67-2.81*'Raw Data'!C67</f>
        <v/>
      </c>
      <c r="F68" s="16">
        <f>20.13*'Raw Data'!C67-5.03*'Raw Data'!D67</f>
        <v/>
      </c>
      <c r="G68" s="17">
        <f>17.76*'Raw Data'!C67+7.43*'Raw Data'!D67</f>
        <v/>
      </c>
    </row>
    <row r="69">
      <c r="A69">
        <f>'Raw Data'!A68</f>
        <v/>
      </c>
      <c r="B69">
        <f>'Raw Data'!B68</f>
        <v/>
      </c>
      <c r="C69" s="14">
        <f>'Raw Data'!C68</f>
        <v/>
      </c>
      <c r="D69" s="14">
        <f>'Raw Data'!D68</f>
        <v/>
      </c>
      <c r="E69" s="15">
        <f>12.21*'Raw Data'!D68-2.81*'Raw Data'!C68</f>
        <v/>
      </c>
      <c r="F69" s="16">
        <f>20.13*'Raw Data'!C68-5.03*'Raw Data'!D68</f>
        <v/>
      </c>
      <c r="G69" s="17">
        <f>17.76*'Raw Data'!C68+7.43*'Raw Data'!D68</f>
        <v/>
      </c>
    </row>
    <row r="70">
      <c r="A70">
        <f>'Raw Data'!A69</f>
        <v/>
      </c>
      <c r="B70">
        <f>'Raw Data'!B69</f>
        <v/>
      </c>
      <c r="C70" s="14">
        <f>'Raw Data'!C69</f>
        <v/>
      </c>
      <c r="D70" s="14">
        <f>'Raw Data'!D69</f>
        <v/>
      </c>
      <c r="E70" s="15">
        <f>12.21*'Raw Data'!D69-2.81*'Raw Data'!C69</f>
        <v/>
      </c>
      <c r="F70" s="16">
        <f>20.13*'Raw Data'!C69-5.03*'Raw Data'!D69</f>
        <v/>
      </c>
      <c r="G70" s="17">
        <f>17.76*'Raw Data'!C69+7.43*'Raw Data'!D69</f>
        <v/>
      </c>
    </row>
    <row r="71">
      <c r="A71">
        <f>'Raw Data'!A70</f>
        <v/>
      </c>
      <c r="B71">
        <f>'Raw Data'!B70</f>
        <v/>
      </c>
      <c r="C71" s="14">
        <f>'Raw Data'!C70</f>
        <v/>
      </c>
      <c r="D71" s="14">
        <f>'Raw Data'!D70</f>
        <v/>
      </c>
      <c r="E71" s="15">
        <f>12.21*'Raw Data'!D70-2.81*'Raw Data'!C70</f>
        <v/>
      </c>
      <c r="F71" s="16">
        <f>20.13*'Raw Data'!C70-5.03*'Raw Data'!D70</f>
        <v/>
      </c>
      <c r="G71" s="17">
        <f>17.76*'Raw Data'!C70+7.43*'Raw Data'!D70</f>
        <v/>
      </c>
    </row>
    <row r="72">
      <c r="A72">
        <f>'Raw Data'!A71</f>
        <v/>
      </c>
      <c r="B72">
        <f>'Raw Data'!B71</f>
        <v/>
      </c>
      <c r="C72" s="14">
        <f>'Raw Data'!C71</f>
        <v/>
      </c>
      <c r="D72" s="14">
        <f>'Raw Data'!D71</f>
        <v/>
      </c>
      <c r="E72" s="15">
        <f>12.21*'Raw Data'!D71-2.81*'Raw Data'!C71</f>
        <v/>
      </c>
      <c r="F72" s="16">
        <f>20.13*'Raw Data'!C71-5.03*'Raw Data'!D71</f>
        <v/>
      </c>
      <c r="G72" s="17">
        <f>17.76*'Raw Data'!C71+7.43*'Raw Data'!D71</f>
        <v/>
      </c>
    </row>
    <row r="73">
      <c r="A73">
        <f>'Raw Data'!A72</f>
        <v/>
      </c>
      <c r="B73">
        <f>'Raw Data'!B72</f>
        <v/>
      </c>
      <c r="C73" s="14">
        <f>'Raw Data'!C72</f>
        <v/>
      </c>
      <c r="D73" s="14">
        <f>'Raw Data'!D72</f>
        <v/>
      </c>
      <c r="E73" s="15">
        <f>12.21*'Raw Data'!D72-2.81*'Raw Data'!C72</f>
        <v/>
      </c>
      <c r="F73" s="16">
        <f>20.13*'Raw Data'!C72-5.03*'Raw Data'!D72</f>
        <v/>
      </c>
      <c r="G73" s="17">
        <f>17.76*'Raw Data'!C72+7.43*'Raw Data'!D72</f>
        <v/>
      </c>
    </row>
    <row r="74">
      <c r="A74">
        <f>'Raw Data'!A73</f>
        <v/>
      </c>
      <c r="B74">
        <f>'Raw Data'!B73</f>
        <v/>
      </c>
      <c r="C74" s="14">
        <f>'Raw Data'!C73</f>
        <v/>
      </c>
      <c r="D74" s="14">
        <f>'Raw Data'!D73</f>
        <v/>
      </c>
      <c r="E74" s="15">
        <f>12.21*'Raw Data'!D73-2.81*'Raw Data'!C73</f>
        <v/>
      </c>
      <c r="F74" s="16">
        <f>20.13*'Raw Data'!C73-5.03*'Raw Data'!D73</f>
        <v/>
      </c>
      <c r="G74" s="17">
        <f>17.76*'Raw Data'!C73+7.43*'Raw Data'!D73</f>
        <v/>
      </c>
    </row>
    <row r="75">
      <c r="A75">
        <f>'Raw Data'!A74</f>
        <v/>
      </c>
      <c r="B75">
        <f>'Raw Data'!B74</f>
        <v/>
      </c>
      <c r="C75" s="14">
        <f>'Raw Data'!C74</f>
        <v/>
      </c>
      <c r="D75" s="14">
        <f>'Raw Data'!D74</f>
        <v/>
      </c>
      <c r="E75" s="15">
        <f>12.21*'Raw Data'!D74-2.81*'Raw Data'!C74</f>
        <v/>
      </c>
      <c r="F75" s="16">
        <f>20.13*'Raw Data'!C74-5.03*'Raw Data'!D74</f>
        <v/>
      </c>
      <c r="G75" s="17">
        <f>17.76*'Raw Data'!C74+7.43*'Raw Data'!D74</f>
        <v/>
      </c>
    </row>
    <row r="76">
      <c r="A76">
        <f>'Raw Data'!A75</f>
        <v/>
      </c>
      <c r="B76">
        <f>'Raw Data'!B75</f>
        <v/>
      </c>
      <c r="C76" s="14">
        <f>'Raw Data'!C75</f>
        <v/>
      </c>
      <c r="D76" s="14">
        <f>'Raw Data'!D75</f>
        <v/>
      </c>
      <c r="E76" s="15">
        <f>12.21*'Raw Data'!D75-2.81*'Raw Data'!C75</f>
        <v/>
      </c>
      <c r="F76" s="16">
        <f>20.13*'Raw Data'!C75-5.03*'Raw Data'!D75</f>
        <v/>
      </c>
      <c r="G76" s="17">
        <f>17.76*'Raw Data'!C75+7.43*'Raw Data'!D75</f>
        <v/>
      </c>
    </row>
    <row r="77">
      <c r="A77">
        <f>'Raw Data'!A76</f>
        <v/>
      </c>
      <c r="B77">
        <f>'Raw Data'!B76</f>
        <v/>
      </c>
      <c r="C77" s="14">
        <f>'Raw Data'!C76</f>
        <v/>
      </c>
      <c r="D77" s="14">
        <f>'Raw Data'!D76</f>
        <v/>
      </c>
      <c r="E77" s="15">
        <f>12.21*'Raw Data'!D76-2.81*'Raw Data'!C76</f>
        <v/>
      </c>
      <c r="F77" s="16">
        <f>20.13*'Raw Data'!C76-5.03*'Raw Data'!D76</f>
        <v/>
      </c>
      <c r="G77" s="17">
        <f>17.76*'Raw Data'!C76+7.43*'Raw Data'!D76</f>
        <v/>
      </c>
    </row>
    <row r="78">
      <c r="A78">
        <f>'Raw Data'!A77</f>
        <v/>
      </c>
      <c r="B78">
        <f>'Raw Data'!B77</f>
        <v/>
      </c>
      <c r="C78" s="14">
        <f>'Raw Data'!C77</f>
        <v/>
      </c>
      <c r="D78" s="14">
        <f>'Raw Data'!D77</f>
        <v/>
      </c>
      <c r="E78" s="15">
        <f>12.21*'Raw Data'!D77-2.81*'Raw Data'!C77</f>
        <v/>
      </c>
      <c r="F78" s="16">
        <f>20.13*'Raw Data'!C77-5.03*'Raw Data'!D77</f>
        <v/>
      </c>
      <c r="G78" s="17">
        <f>17.76*'Raw Data'!C77+7.43*'Raw Data'!D77</f>
        <v/>
      </c>
    </row>
    <row r="79">
      <c r="A79">
        <f>'Raw Data'!A78</f>
        <v/>
      </c>
      <c r="B79">
        <f>'Raw Data'!B78</f>
        <v/>
      </c>
      <c r="C79" s="14">
        <f>'Raw Data'!C78</f>
        <v/>
      </c>
      <c r="D79" s="14">
        <f>'Raw Data'!D78</f>
        <v/>
      </c>
      <c r="E79" s="15">
        <f>12.21*'Raw Data'!D78-2.81*'Raw Data'!C78</f>
        <v/>
      </c>
      <c r="F79" s="16">
        <f>20.13*'Raw Data'!C78-5.03*'Raw Data'!D78</f>
        <v/>
      </c>
      <c r="G79" s="17">
        <f>17.76*'Raw Data'!C78+7.43*'Raw Data'!D78</f>
        <v/>
      </c>
    </row>
    <row r="80">
      <c r="A80">
        <f>'Raw Data'!A79</f>
        <v/>
      </c>
      <c r="B80">
        <f>'Raw Data'!B79</f>
        <v/>
      </c>
      <c r="C80" s="14">
        <f>'Raw Data'!C79</f>
        <v/>
      </c>
      <c r="D80" s="14">
        <f>'Raw Data'!D79</f>
        <v/>
      </c>
      <c r="E80" s="15">
        <f>12.21*'Raw Data'!D79-2.81*'Raw Data'!C79</f>
        <v/>
      </c>
      <c r="F80" s="16">
        <f>20.13*'Raw Data'!C79-5.03*'Raw Data'!D79</f>
        <v/>
      </c>
      <c r="G80" s="17">
        <f>17.76*'Raw Data'!C79+7.43*'Raw Data'!D79</f>
        <v/>
      </c>
    </row>
    <row r="81">
      <c r="A81">
        <f>'Raw Data'!A80</f>
        <v/>
      </c>
      <c r="B81">
        <f>'Raw Data'!B80</f>
        <v/>
      </c>
      <c r="C81" s="14">
        <f>'Raw Data'!C80</f>
        <v/>
      </c>
      <c r="D81" s="14">
        <f>'Raw Data'!D80</f>
        <v/>
      </c>
      <c r="E81" s="15">
        <f>12.21*'Raw Data'!D80-2.81*'Raw Data'!C80</f>
        <v/>
      </c>
      <c r="F81" s="16">
        <f>20.13*'Raw Data'!C80-5.03*'Raw Data'!D80</f>
        <v/>
      </c>
      <c r="G81" s="17">
        <f>17.76*'Raw Data'!C80+7.43*'Raw Data'!D80</f>
        <v/>
      </c>
    </row>
    <row r="82">
      <c r="A82">
        <f>'Raw Data'!A81</f>
        <v/>
      </c>
      <c r="B82">
        <f>'Raw Data'!B81</f>
        <v/>
      </c>
      <c r="C82" s="14">
        <f>'Raw Data'!C81</f>
        <v/>
      </c>
      <c r="D82" s="14">
        <f>'Raw Data'!D81</f>
        <v/>
      </c>
      <c r="E82" s="15">
        <f>12.21*'Raw Data'!D81-2.81*'Raw Data'!C81</f>
        <v/>
      </c>
      <c r="F82" s="16">
        <f>20.13*'Raw Data'!C81-5.03*'Raw Data'!D81</f>
        <v/>
      </c>
      <c r="G82" s="17">
        <f>17.76*'Raw Data'!C81+7.43*'Raw Data'!D81</f>
        <v/>
      </c>
    </row>
    <row r="83">
      <c r="A83">
        <f>'Raw Data'!A82</f>
        <v/>
      </c>
      <c r="B83">
        <f>'Raw Data'!B82</f>
        <v/>
      </c>
      <c r="C83" s="14">
        <f>'Raw Data'!C82</f>
        <v/>
      </c>
      <c r="D83" s="14">
        <f>'Raw Data'!D82</f>
        <v/>
      </c>
      <c r="E83" s="15">
        <f>12.21*'Raw Data'!D82-2.81*'Raw Data'!C82</f>
        <v/>
      </c>
      <c r="F83" s="16">
        <f>20.13*'Raw Data'!C82-5.03*'Raw Data'!D82</f>
        <v/>
      </c>
      <c r="G83" s="17">
        <f>17.76*'Raw Data'!C82+7.43*'Raw Data'!D82</f>
        <v/>
      </c>
    </row>
    <row r="84">
      <c r="A84">
        <f>'Raw Data'!A83</f>
        <v/>
      </c>
      <c r="B84">
        <f>'Raw Data'!B83</f>
        <v/>
      </c>
      <c r="C84" s="14">
        <f>'Raw Data'!C83</f>
        <v/>
      </c>
      <c r="D84" s="14">
        <f>'Raw Data'!D83</f>
        <v/>
      </c>
      <c r="E84" s="15">
        <f>12.21*'Raw Data'!D83-2.81*'Raw Data'!C83</f>
        <v/>
      </c>
      <c r="F84" s="16">
        <f>20.13*'Raw Data'!C83-5.03*'Raw Data'!D83</f>
        <v/>
      </c>
      <c r="G84" s="17">
        <f>17.76*'Raw Data'!C83+7.43*'Raw Data'!D83</f>
        <v/>
      </c>
    </row>
    <row r="85">
      <c r="A85">
        <f>'Raw Data'!A84</f>
        <v/>
      </c>
      <c r="B85">
        <f>'Raw Data'!B84</f>
        <v/>
      </c>
      <c r="C85" s="14">
        <f>'Raw Data'!C84</f>
        <v/>
      </c>
      <c r="D85" s="14">
        <f>'Raw Data'!D84</f>
        <v/>
      </c>
      <c r="E85" s="15">
        <f>12.21*'Raw Data'!D84-2.81*'Raw Data'!C84</f>
        <v/>
      </c>
      <c r="F85" s="16">
        <f>20.13*'Raw Data'!C84-5.03*'Raw Data'!D84</f>
        <v/>
      </c>
      <c r="G85" s="17">
        <f>17.76*'Raw Data'!C84+7.43*'Raw Data'!D84</f>
        <v/>
      </c>
    </row>
    <row r="86">
      <c r="A86">
        <f>'Raw Data'!A85</f>
        <v/>
      </c>
      <c r="B86">
        <f>'Raw Data'!B85</f>
        <v/>
      </c>
      <c r="C86" s="14">
        <f>'Raw Data'!C85</f>
        <v/>
      </c>
      <c r="D86" s="14">
        <f>'Raw Data'!D85</f>
        <v/>
      </c>
      <c r="E86" s="15">
        <f>12.21*'Raw Data'!D85-2.81*'Raw Data'!C85</f>
        <v/>
      </c>
      <c r="F86" s="16">
        <f>20.13*'Raw Data'!C85-5.03*'Raw Data'!D85</f>
        <v/>
      </c>
      <c r="G86" s="17">
        <f>17.76*'Raw Data'!C85+7.43*'Raw Data'!D85</f>
        <v/>
      </c>
    </row>
    <row r="87">
      <c r="A87">
        <f>'Raw Data'!A86</f>
        <v/>
      </c>
      <c r="B87">
        <f>'Raw Data'!B86</f>
        <v/>
      </c>
      <c r="C87" s="14">
        <f>'Raw Data'!C86</f>
        <v/>
      </c>
      <c r="D87" s="14">
        <f>'Raw Data'!D86</f>
        <v/>
      </c>
      <c r="E87" s="15">
        <f>12.21*'Raw Data'!D86-2.81*'Raw Data'!C86</f>
        <v/>
      </c>
      <c r="F87" s="16">
        <f>20.13*'Raw Data'!C86-5.03*'Raw Data'!D86</f>
        <v/>
      </c>
      <c r="G87" s="17">
        <f>17.76*'Raw Data'!C86+7.43*'Raw Data'!D86</f>
        <v/>
      </c>
    </row>
    <row r="88">
      <c r="A88">
        <f>'Raw Data'!A87</f>
        <v/>
      </c>
      <c r="B88">
        <f>'Raw Data'!B87</f>
        <v/>
      </c>
      <c r="C88" s="14">
        <f>'Raw Data'!C87</f>
        <v/>
      </c>
      <c r="D88" s="14">
        <f>'Raw Data'!D87</f>
        <v/>
      </c>
      <c r="E88" s="15">
        <f>12.21*'Raw Data'!D87-2.81*'Raw Data'!C87</f>
        <v/>
      </c>
      <c r="F88" s="16">
        <f>20.13*'Raw Data'!C87-5.03*'Raw Data'!D87</f>
        <v/>
      </c>
      <c r="G88" s="17">
        <f>17.76*'Raw Data'!C87+7.43*'Raw Data'!D87</f>
        <v/>
      </c>
    </row>
    <row r="89">
      <c r="A89">
        <f>'Raw Data'!A88</f>
        <v/>
      </c>
      <c r="B89">
        <f>'Raw Data'!B88</f>
        <v/>
      </c>
      <c r="C89" s="14">
        <f>'Raw Data'!C88</f>
        <v/>
      </c>
      <c r="D89" s="14">
        <f>'Raw Data'!D88</f>
        <v/>
      </c>
      <c r="E89" s="15">
        <f>12.21*'Raw Data'!D88-2.81*'Raw Data'!C88</f>
        <v/>
      </c>
      <c r="F89" s="16">
        <f>20.13*'Raw Data'!C88-5.03*'Raw Data'!D88</f>
        <v/>
      </c>
      <c r="G89" s="17">
        <f>17.76*'Raw Data'!C88+7.43*'Raw Data'!D88</f>
        <v/>
      </c>
    </row>
    <row r="90">
      <c r="A90">
        <f>'Raw Data'!A89</f>
        <v/>
      </c>
      <c r="B90">
        <f>'Raw Data'!B89</f>
        <v/>
      </c>
      <c r="C90" s="14">
        <f>'Raw Data'!C89</f>
        <v/>
      </c>
      <c r="D90" s="14">
        <f>'Raw Data'!D89</f>
        <v/>
      </c>
      <c r="E90" s="15">
        <f>12.21*'Raw Data'!D89-2.81*'Raw Data'!C89</f>
        <v/>
      </c>
      <c r="F90" s="16">
        <f>20.13*'Raw Data'!C89-5.03*'Raw Data'!D89</f>
        <v/>
      </c>
      <c r="G90" s="17">
        <f>17.76*'Raw Data'!C89+7.43*'Raw Data'!D89</f>
        <v/>
      </c>
    </row>
    <row r="91">
      <c r="A91">
        <f>'Raw Data'!A90</f>
        <v/>
      </c>
      <c r="B91">
        <f>'Raw Data'!B90</f>
        <v/>
      </c>
      <c r="C91" s="14">
        <f>'Raw Data'!C90</f>
        <v/>
      </c>
      <c r="D91" s="14">
        <f>'Raw Data'!D90</f>
        <v/>
      </c>
      <c r="E91" s="15">
        <f>12.21*'Raw Data'!D90-2.81*'Raw Data'!C90</f>
        <v/>
      </c>
      <c r="F91" s="16">
        <f>20.13*'Raw Data'!C90-5.03*'Raw Data'!D90</f>
        <v/>
      </c>
      <c r="G91" s="17">
        <f>17.76*'Raw Data'!C90+7.43*'Raw Data'!D90</f>
        <v/>
      </c>
    </row>
    <row r="92">
      <c r="A92">
        <f>'Raw Data'!A91</f>
        <v/>
      </c>
      <c r="B92">
        <f>'Raw Data'!B91</f>
        <v/>
      </c>
      <c r="C92" s="14">
        <f>'Raw Data'!C91</f>
        <v/>
      </c>
      <c r="D92" s="14">
        <f>'Raw Data'!D91</f>
        <v/>
      </c>
      <c r="E92" s="15">
        <f>12.21*'Raw Data'!D91-2.81*'Raw Data'!C91</f>
        <v/>
      </c>
      <c r="F92" s="16">
        <f>20.13*'Raw Data'!C91-5.03*'Raw Data'!D91</f>
        <v/>
      </c>
      <c r="G92" s="17">
        <f>17.76*'Raw Data'!C91+7.43*'Raw Data'!D91</f>
        <v/>
      </c>
    </row>
    <row r="93">
      <c r="A93">
        <f>'Raw Data'!A92</f>
        <v/>
      </c>
      <c r="B93">
        <f>'Raw Data'!B92</f>
        <v/>
      </c>
      <c r="C93" s="14">
        <f>'Raw Data'!C92</f>
        <v/>
      </c>
      <c r="D93" s="14">
        <f>'Raw Data'!D92</f>
        <v/>
      </c>
      <c r="E93" s="15">
        <f>12.21*'Raw Data'!D92-2.81*'Raw Data'!C92</f>
        <v/>
      </c>
      <c r="F93" s="16">
        <f>20.13*'Raw Data'!C92-5.03*'Raw Data'!D92</f>
        <v/>
      </c>
      <c r="G93" s="17">
        <f>17.76*'Raw Data'!C92+7.43*'Raw Data'!D92</f>
        <v/>
      </c>
    </row>
    <row r="94">
      <c r="A94">
        <f>'Raw Data'!A93</f>
        <v/>
      </c>
      <c r="B94">
        <f>'Raw Data'!B93</f>
        <v/>
      </c>
      <c r="C94" s="14">
        <f>'Raw Data'!C93</f>
        <v/>
      </c>
      <c r="D94" s="14">
        <f>'Raw Data'!D93</f>
        <v/>
      </c>
      <c r="E94" s="15">
        <f>12.21*'Raw Data'!D93-2.81*'Raw Data'!C93</f>
        <v/>
      </c>
      <c r="F94" s="16">
        <f>20.13*'Raw Data'!C93-5.03*'Raw Data'!D93</f>
        <v/>
      </c>
      <c r="G94" s="17">
        <f>17.76*'Raw Data'!C93+7.43*'Raw Data'!D93</f>
        <v/>
      </c>
    </row>
    <row r="95">
      <c r="A95">
        <f>'Raw Data'!A94</f>
        <v/>
      </c>
      <c r="B95">
        <f>'Raw Data'!B94</f>
        <v/>
      </c>
      <c r="C95" s="14">
        <f>'Raw Data'!C94</f>
        <v/>
      </c>
      <c r="D95" s="14">
        <f>'Raw Data'!D94</f>
        <v/>
      </c>
      <c r="E95" s="15">
        <f>12.21*'Raw Data'!D94-2.81*'Raw Data'!C94</f>
        <v/>
      </c>
      <c r="F95" s="16">
        <f>20.13*'Raw Data'!C94-5.03*'Raw Data'!D94</f>
        <v/>
      </c>
      <c r="G95" s="17">
        <f>17.76*'Raw Data'!C94+7.43*'Raw Data'!D94</f>
        <v/>
      </c>
    </row>
    <row r="96">
      <c r="A96">
        <f>'Raw Data'!A95</f>
        <v/>
      </c>
      <c r="B96">
        <f>'Raw Data'!B95</f>
        <v/>
      </c>
      <c r="C96" s="14">
        <f>'Raw Data'!C95</f>
        <v/>
      </c>
      <c r="D96" s="14">
        <f>'Raw Data'!D95</f>
        <v/>
      </c>
      <c r="E96" s="15">
        <f>12.21*'Raw Data'!D95-2.81*'Raw Data'!C95</f>
        <v/>
      </c>
      <c r="F96" s="16">
        <f>20.13*'Raw Data'!C95-5.03*'Raw Data'!D95</f>
        <v/>
      </c>
      <c r="G96" s="17">
        <f>17.76*'Raw Data'!C95+7.43*'Raw Data'!D95</f>
        <v/>
      </c>
    </row>
    <row r="97">
      <c r="A97">
        <f>'Raw Data'!A96</f>
        <v/>
      </c>
      <c r="B97">
        <f>'Raw Data'!B96</f>
        <v/>
      </c>
      <c r="C97" s="14">
        <f>'Raw Data'!C96</f>
        <v/>
      </c>
      <c r="D97" s="14">
        <f>'Raw Data'!D96</f>
        <v/>
      </c>
      <c r="E97" s="15">
        <f>12.21*'Raw Data'!D96-2.81*'Raw Data'!C96</f>
        <v/>
      </c>
      <c r="F97" s="16">
        <f>20.13*'Raw Data'!C96-5.03*'Raw Data'!D96</f>
        <v/>
      </c>
      <c r="G97" s="17">
        <f>17.76*'Raw Data'!C96+7.43*'Raw Data'!D96</f>
        <v/>
      </c>
    </row>
    <row r="98">
      <c r="A98">
        <f>'Raw Data'!A97</f>
        <v/>
      </c>
      <c r="B98">
        <f>'Raw Data'!B97</f>
        <v/>
      </c>
      <c r="C98" s="14">
        <f>'Raw Data'!C97</f>
        <v/>
      </c>
      <c r="D98" s="14">
        <f>'Raw Data'!D97</f>
        <v/>
      </c>
      <c r="E98" s="15">
        <f>12.21*'Raw Data'!D97-2.81*'Raw Data'!C97</f>
        <v/>
      </c>
      <c r="F98" s="16">
        <f>20.13*'Raw Data'!C97-5.03*'Raw Data'!D97</f>
        <v/>
      </c>
      <c r="G98" s="17">
        <f>17.76*'Raw Data'!C97+7.43*'Raw Data'!D97</f>
        <v/>
      </c>
    </row>
    <row r="99">
      <c r="A99">
        <f>'Raw Data'!A98</f>
        <v/>
      </c>
      <c r="B99">
        <f>'Raw Data'!B98</f>
        <v/>
      </c>
      <c r="C99" s="14">
        <f>'Raw Data'!C98</f>
        <v/>
      </c>
      <c r="D99" s="14">
        <f>'Raw Data'!D98</f>
        <v/>
      </c>
      <c r="E99" s="15">
        <f>12.21*'Raw Data'!D98-2.81*'Raw Data'!C98</f>
        <v/>
      </c>
      <c r="F99" s="16">
        <f>20.13*'Raw Data'!C98-5.03*'Raw Data'!D98</f>
        <v/>
      </c>
      <c r="G99" s="17">
        <f>17.76*'Raw Data'!C98+7.43*'Raw Data'!D98</f>
        <v/>
      </c>
    </row>
    <row r="100">
      <c r="A100">
        <f>'Raw Data'!A99</f>
        <v/>
      </c>
      <c r="B100">
        <f>'Raw Data'!B99</f>
        <v/>
      </c>
      <c r="C100" s="14">
        <f>'Raw Data'!C99</f>
        <v/>
      </c>
      <c r="D100" s="14">
        <f>'Raw Data'!D99</f>
        <v/>
      </c>
      <c r="E100" s="15">
        <f>12.21*'Raw Data'!D99-2.81*'Raw Data'!C99</f>
        <v/>
      </c>
      <c r="F100" s="16">
        <f>20.13*'Raw Data'!C99-5.03*'Raw Data'!D99</f>
        <v/>
      </c>
      <c r="G100" s="17">
        <f>17.76*'Raw Data'!C99+7.43*'Raw Data'!D99</f>
        <v/>
      </c>
    </row>
    <row r="101">
      <c r="A101">
        <f>'Raw Data'!A100</f>
        <v/>
      </c>
      <c r="B101">
        <f>'Raw Data'!B100</f>
        <v/>
      </c>
      <c r="C101" s="14">
        <f>'Raw Data'!C100</f>
        <v/>
      </c>
      <c r="D101" s="14">
        <f>'Raw Data'!D100</f>
        <v/>
      </c>
      <c r="E101" s="15">
        <f>12.21*'Raw Data'!D100-2.81*'Raw Data'!C100</f>
        <v/>
      </c>
      <c r="F101" s="16">
        <f>20.13*'Raw Data'!C100-5.03*'Raw Data'!D100</f>
        <v/>
      </c>
      <c r="G101" s="17">
        <f>17.76*'Raw Data'!C100+7.43*'Raw Data'!D100</f>
        <v/>
      </c>
    </row>
    <row r="102">
      <c r="A102">
        <f>'Raw Data'!A101</f>
        <v/>
      </c>
      <c r="B102">
        <f>'Raw Data'!B101</f>
        <v/>
      </c>
      <c r="C102" s="14">
        <f>'Raw Data'!C101</f>
        <v/>
      </c>
      <c r="D102" s="14">
        <f>'Raw Data'!D101</f>
        <v/>
      </c>
      <c r="E102" s="15">
        <f>12.21*'Raw Data'!D101-2.81*'Raw Data'!C101</f>
        <v/>
      </c>
      <c r="F102" s="16">
        <f>20.13*'Raw Data'!C101-5.03*'Raw Data'!D101</f>
        <v/>
      </c>
      <c r="G102" s="17">
        <f>17.76*'Raw Data'!C101+7.43*'Raw Data'!D101</f>
        <v/>
      </c>
    </row>
    <row r="103">
      <c r="A103">
        <f>'Raw Data'!A102</f>
        <v/>
      </c>
      <c r="B103">
        <f>'Raw Data'!B102</f>
        <v/>
      </c>
      <c r="C103" s="14">
        <f>'Raw Data'!C102</f>
        <v/>
      </c>
      <c r="D103" s="14">
        <f>'Raw Data'!D102</f>
        <v/>
      </c>
      <c r="E103" s="15">
        <f>12.21*'Raw Data'!D102-2.81*'Raw Data'!C102</f>
        <v/>
      </c>
      <c r="F103" s="16">
        <f>20.13*'Raw Data'!C102-5.03*'Raw Data'!D102</f>
        <v/>
      </c>
      <c r="G103" s="17">
        <f>17.76*'Raw Data'!C102+7.43*'Raw Data'!D102</f>
        <v/>
      </c>
    </row>
    <row r="104">
      <c r="A104">
        <f>'Raw Data'!A103</f>
        <v/>
      </c>
      <c r="B104">
        <f>'Raw Data'!B103</f>
        <v/>
      </c>
      <c r="C104" s="14">
        <f>'Raw Data'!C103</f>
        <v/>
      </c>
      <c r="D104" s="14">
        <f>'Raw Data'!D103</f>
        <v/>
      </c>
      <c r="E104" s="15">
        <f>12.21*'Raw Data'!D103-2.81*'Raw Data'!C103</f>
        <v/>
      </c>
      <c r="F104" s="16">
        <f>20.13*'Raw Data'!C103-5.03*'Raw Data'!D103</f>
        <v/>
      </c>
      <c r="G104" s="17">
        <f>17.76*'Raw Data'!C103+7.43*'Raw Data'!D103</f>
        <v/>
      </c>
    </row>
    <row r="105">
      <c r="A105">
        <f>'Raw Data'!A104</f>
        <v/>
      </c>
      <c r="B105">
        <f>'Raw Data'!B104</f>
        <v/>
      </c>
      <c r="C105" s="14">
        <f>'Raw Data'!C104</f>
        <v/>
      </c>
      <c r="D105" s="14">
        <f>'Raw Data'!D104</f>
        <v/>
      </c>
      <c r="E105" s="15">
        <f>12.21*'Raw Data'!D104-2.81*'Raw Data'!C104</f>
        <v/>
      </c>
      <c r="F105" s="16">
        <f>20.13*'Raw Data'!C104-5.03*'Raw Data'!D104</f>
        <v/>
      </c>
      <c r="G105" s="17">
        <f>17.76*'Raw Data'!C104+7.43*'Raw Data'!D104</f>
        <v/>
      </c>
    </row>
    <row r="106">
      <c r="A106">
        <f>'Raw Data'!A105</f>
        <v/>
      </c>
      <c r="B106">
        <f>'Raw Data'!B105</f>
        <v/>
      </c>
      <c r="C106" s="14">
        <f>'Raw Data'!C105</f>
        <v/>
      </c>
      <c r="D106" s="14">
        <f>'Raw Data'!D105</f>
        <v/>
      </c>
      <c r="E106" s="15">
        <f>12.21*'Raw Data'!D105-2.81*'Raw Data'!C105</f>
        <v/>
      </c>
      <c r="F106" s="16">
        <f>20.13*'Raw Data'!C105-5.03*'Raw Data'!D105</f>
        <v/>
      </c>
      <c r="G106" s="17">
        <f>17.76*'Raw Data'!C105+7.43*'Raw Data'!D105</f>
        <v/>
      </c>
    </row>
    <row r="107">
      <c r="A107">
        <f>'Raw Data'!A106</f>
        <v/>
      </c>
      <c r="B107">
        <f>'Raw Data'!B106</f>
        <v/>
      </c>
      <c r="C107" s="14">
        <f>'Raw Data'!C106</f>
        <v/>
      </c>
      <c r="D107" s="14">
        <f>'Raw Data'!D106</f>
        <v/>
      </c>
      <c r="E107" s="15">
        <f>12.21*'Raw Data'!D106-2.81*'Raw Data'!C106</f>
        <v/>
      </c>
      <c r="F107" s="16">
        <f>20.13*'Raw Data'!C106-5.03*'Raw Data'!D106</f>
        <v/>
      </c>
      <c r="G107" s="17">
        <f>17.76*'Raw Data'!C106+7.43*'Raw Data'!D106</f>
        <v/>
      </c>
    </row>
    <row r="108">
      <c r="A108">
        <f>'Raw Data'!A107</f>
        <v/>
      </c>
      <c r="B108">
        <f>'Raw Data'!B107</f>
        <v/>
      </c>
      <c r="C108" s="14">
        <f>'Raw Data'!C107</f>
        <v/>
      </c>
      <c r="D108" s="14">
        <f>'Raw Data'!D107</f>
        <v/>
      </c>
      <c r="E108" s="15">
        <f>12.21*'Raw Data'!D107-2.81*'Raw Data'!C107</f>
        <v/>
      </c>
      <c r="F108" s="16">
        <f>20.13*'Raw Data'!C107-5.03*'Raw Data'!D107</f>
        <v/>
      </c>
      <c r="G108" s="17">
        <f>17.76*'Raw Data'!C107+7.43*'Raw Data'!D107</f>
        <v/>
      </c>
    </row>
    <row r="109">
      <c r="A109">
        <f>'Raw Data'!A108</f>
        <v/>
      </c>
      <c r="B109">
        <f>'Raw Data'!B108</f>
        <v/>
      </c>
      <c r="C109" s="14">
        <f>'Raw Data'!C108</f>
        <v/>
      </c>
      <c r="D109" s="14">
        <f>'Raw Data'!D108</f>
        <v/>
      </c>
      <c r="E109" s="15">
        <f>12.21*'Raw Data'!D108-2.81*'Raw Data'!C108</f>
        <v/>
      </c>
      <c r="F109" s="16">
        <f>20.13*'Raw Data'!C108-5.03*'Raw Data'!D108</f>
        <v/>
      </c>
      <c r="G109" s="17">
        <f>17.76*'Raw Data'!C108+7.43*'Raw Data'!D108</f>
        <v/>
      </c>
    </row>
    <row r="110">
      <c r="A110">
        <f>'Raw Data'!A109</f>
        <v/>
      </c>
      <c r="B110">
        <f>'Raw Data'!B109</f>
        <v/>
      </c>
      <c r="C110" s="14">
        <f>'Raw Data'!C109</f>
        <v/>
      </c>
      <c r="D110" s="14">
        <f>'Raw Data'!D109</f>
        <v/>
      </c>
      <c r="E110" s="15">
        <f>12.21*'Raw Data'!D109-2.81*'Raw Data'!C109</f>
        <v/>
      </c>
      <c r="F110" s="16">
        <f>20.13*'Raw Data'!C109-5.03*'Raw Data'!D109</f>
        <v/>
      </c>
      <c r="G110" s="17">
        <f>17.76*'Raw Data'!C109+7.43*'Raw Data'!D109</f>
        <v/>
      </c>
    </row>
    <row r="111">
      <c r="A111">
        <f>'Raw Data'!A110</f>
        <v/>
      </c>
      <c r="B111">
        <f>'Raw Data'!B110</f>
        <v/>
      </c>
      <c r="C111" s="14">
        <f>'Raw Data'!C110</f>
        <v/>
      </c>
      <c r="D111" s="14">
        <f>'Raw Data'!D110</f>
        <v/>
      </c>
      <c r="E111" s="15">
        <f>12.21*'Raw Data'!D110-2.81*'Raw Data'!C110</f>
        <v/>
      </c>
      <c r="F111" s="16">
        <f>20.13*'Raw Data'!C110-5.03*'Raw Data'!D110</f>
        <v/>
      </c>
      <c r="G111" s="17">
        <f>17.76*'Raw Data'!C110+7.43*'Raw Data'!D110</f>
        <v/>
      </c>
    </row>
    <row r="112">
      <c r="A112">
        <f>'Raw Data'!A111</f>
        <v/>
      </c>
      <c r="B112">
        <f>'Raw Data'!B111</f>
        <v/>
      </c>
      <c r="C112" s="14">
        <f>'Raw Data'!C111</f>
        <v/>
      </c>
      <c r="D112" s="14">
        <f>'Raw Data'!D111</f>
        <v/>
      </c>
      <c r="E112" s="15">
        <f>12.21*'Raw Data'!D111-2.81*'Raw Data'!C111</f>
        <v/>
      </c>
      <c r="F112" s="16">
        <f>20.13*'Raw Data'!C111-5.03*'Raw Data'!D111</f>
        <v/>
      </c>
      <c r="G112" s="17">
        <f>17.76*'Raw Data'!C111+7.43*'Raw Data'!D111</f>
        <v/>
      </c>
    </row>
    <row r="113">
      <c r="A113">
        <f>'Raw Data'!A112</f>
        <v/>
      </c>
      <c r="B113">
        <f>'Raw Data'!B112</f>
        <v/>
      </c>
      <c r="C113" s="14">
        <f>'Raw Data'!C112</f>
        <v/>
      </c>
      <c r="D113" s="14">
        <f>'Raw Data'!D112</f>
        <v/>
      </c>
      <c r="E113" s="15">
        <f>12.21*'Raw Data'!D112-2.81*'Raw Data'!C112</f>
        <v/>
      </c>
      <c r="F113" s="16">
        <f>20.13*'Raw Data'!C112-5.03*'Raw Data'!D112</f>
        <v/>
      </c>
      <c r="G113" s="17">
        <f>17.76*'Raw Data'!C112+7.43*'Raw Data'!D112</f>
        <v/>
      </c>
    </row>
    <row r="114">
      <c r="A114">
        <f>'Raw Data'!A113</f>
        <v/>
      </c>
      <c r="B114">
        <f>'Raw Data'!B113</f>
        <v/>
      </c>
      <c r="C114" s="14">
        <f>'Raw Data'!C113</f>
        <v/>
      </c>
      <c r="D114" s="14">
        <f>'Raw Data'!D113</f>
        <v/>
      </c>
      <c r="E114" s="15">
        <f>12.21*'Raw Data'!D113-2.81*'Raw Data'!C113</f>
        <v/>
      </c>
      <c r="F114" s="16">
        <f>20.13*'Raw Data'!C113-5.03*'Raw Data'!D113</f>
        <v/>
      </c>
      <c r="G114" s="17">
        <f>17.76*'Raw Data'!C113+7.43*'Raw Data'!D113</f>
        <v/>
      </c>
    </row>
    <row r="115">
      <c r="A115">
        <f>'Raw Data'!A114</f>
        <v/>
      </c>
      <c r="B115">
        <f>'Raw Data'!B114</f>
        <v/>
      </c>
      <c r="C115" s="14">
        <f>'Raw Data'!C114</f>
        <v/>
      </c>
      <c r="D115" s="14">
        <f>'Raw Data'!D114</f>
        <v/>
      </c>
      <c r="E115" s="15">
        <f>12.21*'Raw Data'!D114-2.81*'Raw Data'!C114</f>
        <v/>
      </c>
      <c r="F115" s="16">
        <f>20.13*'Raw Data'!C114-5.03*'Raw Data'!D114</f>
        <v/>
      </c>
      <c r="G115" s="17">
        <f>17.76*'Raw Data'!C114+7.43*'Raw Data'!D114</f>
        <v/>
      </c>
    </row>
    <row r="116">
      <c r="A116">
        <f>'Raw Data'!A115</f>
        <v/>
      </c>
      <c r="B116">
        <f>'Raw Data'!B115</f>
        <v/>
      </c>
      <c r="C116" s="14">
        <f>'Raw Data'!C115</f>
        <v/>
      </c>
      <c r="D116" s="14">
        <f>'Raw Data'!D115</f>
        <v/>
      </c>
      <c r="E116" s="15">
        <f>12.21*'Raw Data'!D115-2.81*'Raw Data'!C115</f>
        <v/>
      </c>
      <c r="F116" s="16">
        <f>20.13*'Raw Data'!C115-5.03*'Raw Data'!D115</f>
        <v/>
      </c>
      <c r="G116" s="17">
        <f>17.76*'Raw Data'!C115+7.43*'Raw Data'!D115</f>
        <v/>
      </c>
    </row>
    <row r="117">
      <c r="A117">
        <f>'Raw Data'!A116</f>
        <v/>
      </c>
      <c r="B117">
        <f>'Raw Data'!B116</f>
        <v/>
      </c>
      <c r="C117" s="14">
        <f>'Raw Data'!C116</f>
        <v/>
      </c>
      <c r="D117" s="14">
        <f>'Raw Data'!D116</f>
        <v/>
      </c>
      <c r="E117" s="15">
        <f>12.21*'Raw Data'!D116-2.81*'Raw Data'!C116</f>
        <v/>
      </c>
      <c r="F117" s="16">
        <f>20.13*'Raw Data'!C116-5.03*'Raw Data'!D116</f>
        <v/>
      </c>
      <c r="G117" s="17">
        <f>17.76*'Raw Data'!C116+7.43*'Raw Data'!D116</f>
        <v/>
      </c>
    </row>
    <row r="118">
      <c r="A118">
        <f>'Raw Data'!A117</f>
        <v/>
      </c>
      <c r="B118">
        <f>'Raw Data'!B117</f>
        <v/>
      </c>
      <c r="C118" s="14">
        <f>'Raw Data'!C117</f>
        <v/>
      </c>
      <c r="D118" s="14">
        <f>'Raw Data'!D117</f>
        <v/>
      </c>
      <c r="E118" s="15">
        <f>12.21*'Raw Data'!D117-2.81*'Raw Data'!C117</f>
        <v/>
      </c>
      <c r="F118" s="16">
        <f>20.13*'Raw Data'!C117-5.03*'Raw Data'!D117</f>
        <v/>
      </c>
      <c r="G118" s="17">
        <f>17.76*'Raw Data'!C117+7.43*'Raw Data'!D117</f>
        <v/>
      </c>
    </row>
    <row r="119">
      <c r="A119">
        <f>'Raw Data'!A118</f>
        <v/>
      </c>
      <c r="B119">
        <f>'Raw Data'!B118</f>
        <v/>
      </c>
      <c r="C119" s="14">
        <f>'Raw Data'!C118</f>
        <v/>
      </c>
      <c r="D119" s="14">
        <f>'Raw Data'!D118</f>
        <v/>
      </c>
      <c r="E119" s="15">
        <f>12.21*'Raw Data'!D118-2.81*'Raw Data'!C118</f>
        <v/>
      </c>
      <c r="F119" s="16">
        <f>20.13*'Raw Data'!C118-5.03*'Raw Data'!D118</f>
        <v/>
      </c>
      <c r="G119" s="17">
        <f>17.76*'Raw Data'!C118+7.43*'Raw Data'!D118</f>
        <v/>
      </c>
    </row>
    <row r="120">
      <c r="A120">
        <f>'Raw Data'!A119</f>
        <v/>
      </c>
      <c r="B120">
        <f>'Raw Data'!B119</f>
        <v/>
      </c>
      <c r="C120" s="14">
        <f>'Raw Data'!C119</f>
        <v/>
      </c>
      <c r="D120" s="14">
        <f>'Raw Data'!D119</f>
        <v/>
      </c>
      <c r="E120" s="15">
        <f>12.21*'Raw Data'!D119-2.81*'Raw Data'!C119</f>
        <v/>
      </c>
      <c r="F120" s="16">
        <f>20.13*'Raw Data'!C119-5.03*'Raw Data'!D119</f>
        <v/>
      </c>
      <c r="G120" s="17">
        <f>17.76*'Raw Data'!C119+7.43*'Raw Data'!D119</f>
        <v/>
      </c>
    </row>
    <row r="121">
      <c r="A121">
        <f>'Raw Data'!A120</f>
        <v/>
      </c>
      <c r="B121">
        <f>'Raw Data'!B120</f>
        <v/>
      </c>
      <c r="C121" s="14">
        <f>'Raw Data'!C120</f>
        <v/>
      </c>
      <c r="D121" s="14">
        <f>'Raw Data'!D120</f>
        <v/>
      </c>
      <c r="E121" s="15">
        <f>12.21*'Raw Data'!D120-2.81*'Raw Data'!C120</f>
        <v/>
      </c>
      <c r="F121" s="16">
        <f>20.13*'Raw Data'!C120-5.03*'Raw Data'!D120</f>
        <v/>
      </c>
      <c r="G121" s="17">
        <f>17.76*'Raw Data'!C120+7.43*'Raw Data'!D120</f>
        <v/>
      </c>
    </row>
    <row r="122">
      <c r="A122">
        <f>'Raw Data'!A121</f>
        <v/>
      </c>
      <c r="B122">
        <f>'Raw Data'!B121</f>
        <v/>
      </c>
      <c r="C122" s="14">
        <f>'Raw Data'!C121</f>
        <v/>
      </c>
      <c r="D122" s="14">
        <f>'Raw Data'!D121</f>
        <v/>
      </c>
      <c r="E122" s="15">
        <f>12.21*'Raw Data'!D121-2.81*'Raw Data'!C121</f>
        <v/>
      </c>
      <c r="F122" s="16">
        <f>20.13*'Raw Data'!C121-5.03*'Raw Data'!D121</f>
        <v/>
      </c>
      <c r="G122" s="17">
        <f>17.76*'Raw Data'!C121+7.43*'Raw Data'!D121</f>
        <v/>
      </c>
    </row>
    <row r="123">
      <c r="A123">
        <f>'Raw Data'!A122</f>
        <v/>
      </c>
      <c r="B123">
        <f>'Raw Data'!B122</f>
        <v/>
      </c>
      <c r="C123" s="14">
        <f>'Raw Data'!C122</f>
        <v/>
      </c>
      <c r="D123" s="14">
        <f>'Raw Data'!D122</f>
        <v/>
      </c>
      <c r="E123" s="15">
        <f>12.21*'Raw Data'!D122-2.81*'Raw Data'!C122</f>
        <v/>
      </c>
      <c r="F123" s="16">
        <f>20.13*'Raw Data'!C122-5.03*'Raw Data'!D122</f>
        <v/>
      </c>
      <c r="G123" s="17">
        <f>17.76*'Raw Data'!C122+7.43*'Raw Data'!D122</f>
        <v/>
      </c>
    </row>
    <row r="124">
      <c r="A124">
        <f>'Raw Data'!A123</f>
        <v/>
      </c>
      <c r="B124">
        <f>'Raw Data'!B123</f>
        <v/>
      </c>
      <c r="C124" s="14">
        <f>'Raw Data'!C123</f>
        <v/>
      </c>
      <c r="D124" s="14">
        <f>'Raw Data'!D123</f>
        <v/>
      </c>
      <c r="E124" s="15">
        <f>12.21*'Raw Data'!D123-2.81*'Raw Data'!C123</f>
        <v/>
      </c>
      <c r="F124" s="16">
        <f>20.13*'Raw Data'!C123-5.03*'Raw Data'!D123</f>
        <v/>
      </c>
      <c r="G124" s="17">
        <f>17.76*'Raw Data'!C123+7.43*'Raw Data'!D123</f>
        <v/>
      </c>
    </row>
    <row r="125">
      <c r="A125">
        <f>'Raw Data'!A124</f>
        <v/>
      </c>
      <c r="B125">
        <f>'Raw Data'!B124</f>
        <v/>
      </c>
      <c r="C125" s="14">
        <f>'Raw Data'!C124</f>
        <v/>
      </c>
      <c r="D125" s="14">
        <f>'Raw Data'!D124</f>
        <v/>
      </c>
      <c r="E125" s="15">
        <f>12.21*'Raw Data'!D124-2.81*'Raw Data'!C124</f>
        <v/>
      </c>
      <c r="F125" s="16">
        <f>20.13*'Raw Data'!C124-5.03*'Raw Data'!D124</f>
        <v/>
      </c>
      <c r="G125" s="17">
        <f>17.76*'Raw Data'!C124+7.43*'Raw Data'!D124</f>
        <v/>
      </c>
    </row>
    <row r="126">
      <c r="A126">
        <f>'Raw Data'!A125</f>
        <v/>
      </c>
      <c r="B126">
        <f>'Raw Data'!B125</f>
        <v/>
      </c>
      <c r="C126" s="14">
        <f>'Raw Data'!C125</f>
        <v/>
      </c>
      <c r="D126" s="14">
        <f>'Raw Data'!D125</f>
        <v/>
      </c>
      <c r="E126" s="15">
        <f>12.21*'Raw Data'!D125-2.81*'Raw Data'!C125</f>
        <v/>
      </c>
      <c r="F126" s="16">
        <f>20.13*'Raw Data'!C125-5.03*'Raw Data'!D125</f>
        <v/>
      </c>
      <c r="G126" s="17">
        <f>17.76*'Raw Data'!C125+7.43*'Raw Data'!D125</f>
        <v/>
      </c>
    </row>
    <row r="127">
      <c r="A127">
        <f>'Raw Data'!A126</f>
        <v/>
      </c>
      <c r="B127">
        <f>'Raw Data'!B126</f>
        <v/>
      </c>
      <c r="C127" s="14">
        <f>'Raw Data'!C126</f>
        <v/>
      </c>
      <c r="D127" s="14">
        <f>'Raw Data'!D126</f>
        <v/>
      </c>
      <c r="E127" s="15">
        <f>12.21*'Raw Data'!D126-2.81*'Raw Data'!C126</f>
        <v/>
      </c>
      <c r="F127" s="16">
        <f>20.13*'Raw Data'!C126-5.03*'Raw Data'!D126</f>
        <v/>
      </c>
      <c r="G127" s="17">
        <f>17.76*'Raw Data'!C126+7.43*'Raw Data'!D126</f>
        <v/>
      </c>
    </row>
    <row r="128">
      <c r="A128">
        <f>'Raw Data'!A127</f>
        <v/>
      </c>
      <c r="B128">
        <f>'Raw Data'!B127</f>
        <v/>
      </c>
      <c r="C128" s="14">
        <f>'Raw Data'!C127</f>
        <v/>
      </c>
      <c r="D128" s="14">
        <f>'Raw Data'!D127</f>
        <v/>
      </c>
      <c r="E128" s="15">
        <f>12.21*'Raw Data'!D127-2.81*'Raw Data'!C127</f>
        <v/>
      </c>
      <c r="F128" s="16">
        <f>20.13*'Raw Data'!C127-5.03*'Raw Data'!D127</f>
        <v/>
      </c>
      <c r="G128" s="17">
        <f>17.76*'Raw Data'!C127+7.43*'Raw Data'!D127</f>
        <v/>
      </c>
    </row>
    <row r="129">
      <c r="A129">
        <f>'Raw Data'!A128</f>
        <v/>
      </c>
      <c r="B129">
        <f>'Raw Data'!B128</f>
        <v/>
      </c>
      <c r="C129" s="14">
        <f>'Raw Data'!C128</f>
        <v/>
      </c>
      <c r="D129" s="14">
        <f>'Raw Data'!D128</f>
        <v/>
      </c>
      <c r="E129" s="15">
        <f>12.21*'Raw Data'!D128-2.81*'Raw Data'!C128</f>
        <v/>
      </c>
      <c r="F129" s="16">
        <f>20.13*'Raw Data'!C128-5.03*'Raw Data'!D128</f>
        <v/>
      </c>
      <c r="G129" s="17">
        <f>17.76*'Raw Data'!C128+7.43*'Raw Data'!D128</f>
        <v/>
      </c>
    </row>
    <row r="130">
      <c r="A130">
        <f>'Raw Data'!A129</f>
        <v/>
      </c>
      <c r="B130">
        <f>'Raw Data'!B129</f>
        <v/>
      </c>
      <c r="C130" s="14">
        <f>'Raw Data'!C129</f>
        <v/>
      </c>
      <c r="D130" s="14">
        <f>'Raw Data'!D129</f>
        <v/>
      </c>
      <c r="E130" s="15">
        <f>12.21*'Raw Data'!D129-2.81*'Raw Data'!C129</f>
        <v/>
      </c>
      <c r="F130" s="16">
        <f>20.13*'Raw Data'!C129-5.03*'Raw Data'!D129</f>
        <v/>
      </c>
      <c r="G130" s="17">
        <f>17.76*'Raw Data'!C129+7.43*'Raw Data'!D129</f>
        <v/>
      </c>
    </row>
    <row r="131">
      <c r="A131">
        <f>'Raw Data'!A130</f>
        <v/>
      </c>
      <c r="B131">
        <f>'Raw Data'!B130</f>
        <v/>
      </c>
      <c r="C131" s="14">
        <f>'Raw Data'!C130</f>
        <v/>
      </c>
      <c r="D131" s="14">
        <f>'Raw Data'!D130</f>
        <v/>
      </c>
      <c r="E131" s="15">
        <f>12.21*'Raw Data'!D130-2.81*'Raw Data'!C130</f>
        <v/>
      </c>
      <c r="F131" s="16">
        <f>20.13*'Raw Data'!C130-5.03*'Raw Data'!D130</f>
        <v/>
      </c>
      <c r="G131" s="17">
        <f>17.76*'Raw Data'!C130+7.43*'Raw Data'!D130</f>
        <v/>
      </c>
    </row>
    <row r="132">
      <c r="A132">
        <f>'Raw Data'!A131</f>
        <v/>
      </c>
      <c r="B132">
        <f>'Raw Data'!B131</f>
        <v/>
      </c>
      <c r="C132" s="14">
        <f>'Raw Data'!C131</f>
        <v/>
      </c>
      <c r="D132" s="14">
        <f>'Raw Data'!D131</f>
        <v/>
      </c>
      <c r="E132" s="15">
        <f>12.21*'Raw Data'!D131-2.81*'Raw Data'!C131</f>
        <v/>
      </c>
      <c r="F132" s="16">
        <f>20.13*'Raw Data'!C131-5.03*'Raw Data'!D131</f>
        <v/>
      </c>
      <c r="G132" s="17">
        <f>17.76*'Raw Data'!C131+7.43*'Raw Data'!D131</f>
        <v/>
      </c>
    </row>
    <row r="133">
      <c r="A133">
        <f>'Raw Data'!A132</f>
        <v/>
      </c>
      <c r="B133">
        <f>'Raw Data'!B132</f>
        <v/>
      </c>
      <c r="C133" s="14">
        <f>'Raw Data'!C132</f>
        <v/>
      </c>
      <c r="D133" s="14">
        <f>'Raw Data'!D132</f>
        <v/>
      </c>
      <c r="E133" s="15">
        <f>12.21*'Raw Data'!D132-2.81*'Raw Data'!C132</f>
        <v/>
      </c>
      <c r="F133" s="16">
        <f>20.13*'Raw Data'!C132-5.03*'Raw Data'!D132</f>
        <v/>
      </c>
      <c r="G133" s="17">
        <f>17.76*'Raw Data'!C132+7.43*'Raw Data'!D132</f>
        <v/>
      </c>
    </row>
    <row r="134">
      <c r="A134">
        <f>'Raw Data'!A133</f>
        <v/>
      </c>
      <c r="B134">
        <f>'Raw Data'!B133</f>
        <v/>
      </c>
      <c r="C134" s="14">
        <f>'Raw Data'!C133</f>
        <v/>
      </c>
      <c r="D134" s="14">
        <f>'Raw Data'!D133</f>
        <v/>
      </c>
      <c r="E134" s="15">
        <f>12.21*'Raw Data'!D133-2.81*'Raw Data'!C133</f>
        <v/>
      </c>
      <c r="F134" s="16">
        <f>20.13*'Raw Data'!C133-5.03*'Raw Data'!D133</f>
        <v/>
      </c>
      <c r="G134" s="17">
        <f>17.76*'Raw Data'!C133+7.43*'Raw Data'!D133</f>
        <v/>
      </c>
    </row>
    <row r="135">
      <c r="A135">
        <f>'Raw Data'!A134</f>
        <v/>
      </c>
      <c r="B135">
        <f>'Raw Data'!B134</f>
        <v/>
      </c>
      <c r="C135" s="14">
        <f>'Raw Data'!C134</f>
        <v/>
      </c>
      <c r="D135" s="14">
        <f>'Raw Data'!D134</f>
        <v/>
      </c>
      <c r="E135" s="15">
        <f>12.21*'Raw Data'!D134-2.81*'Raw Data'!C134</f>
        <v/>
      </c>
      <c r="F135" s="16">
        <f>20.13*'Raw Data'!C134-5.03*'Raw Data'!D134</f>
        <v/>
      </c>
      <c r="G135" s="17">
        <f>17.76*'Raw Data'!C134+7.43*'Raw Data'!D134</f>
        <v/>
      </c>
    </row>
    <row r="136">
      <c r="A136">
        <f>'Raw Data'!A135</f>
        <v/>
      </c>
      <c r="B136">
        <f>'Raw Data'!B135</f>
        <v/>
      </c>
      <c r="C136" s="14">
        <f>'Raw Data'!C135</f>
        <v/>
      </c>
      <c r="D136" s="14">
        <f>'Raw Data'!D135</f>
        <v/>
      </c>
      <c r="E136" s="15">
        <f>12.21*'Raw Data'!D135-2.81*'Raw Data'!C135</f>
        <v/>
      </c>
      <c r="F136" s="16">
        <f>20.13*'Raw Data'!C135-5.03*'Raw Data'!D135</f>
        <v/>
      </c>
      <c r="G136" s="17">
        <f>17.76*'Raw Data'!C135+7.43*'Raw Data'!D135</f>
        <v/>
      </c>
    </row>
    <row r="137">
      <c r="A137">
        <f>'Raw Data'!A136</f>
        <v/>
      </c>
      <c r="B137">
        <f>'Raw Data'!B136</f>
        <v/>
      </c>
      <c r="C137" s="14">
        <f>'Raw Data'!C136</f>
        <v/>
      </c>
      <c r="D137" s="14">
        <f>'Raw Data'!D136</f>
        <v/>
      </c>
      <c r="E137" s="15">
        <f>12.21*'Raw Data'!D136-2.81*'Raw Data'!C136</f>
        <v/>
      </c>
      <c r="F137" s="16">
        <f>20.13*'Raw Data'!C136-5.03*'Raw Data'!D136</f>
        <v/>
      </c>
      <c r="G137" s="17">
        <f>17.76*'Raw Data'!C136+7.43*'Raw Data'!D136</f>
        <v/>
      </c>
    </row>
    <row r="138">
      <c r="A138">
        <f>'Raw Data'!A137</f>
        <v/>
      </c>
      <c r="B138">
        <f>'Raw Data'!B137</f>
        <v/>
      </c>
      <c r="C138" s="14">
        <f>'Raw Data'!C137</f>
        <v/>
      </c>
      <c r="D138" s="14">
        <f>'Raw Data'!D137</f>
        <v/>
      </c>
      <c r="E138" s="15">
        <f>12.21*'Raw Data'!D137-2.81*'Raw Data'!C137</f>
        <v/>
      </c>
      <c r="F138" s="16">
        <f>20.13*'Raw Data'!C137-5.03*'Raw Data'!D137</f>
        <v/>
      </c>
      <c r="G138" s="17">
        <f>17.76*'Raw Data'!C137+7.43*'Raw Data'!D137</f>
        <v/>
      </c>
    </row>
    <row r="139">
      <c r="A139">
        <f>'Raw Data'!A138</f>
        <v/>
      </c>
      <c r="B139">
        <f>'Raw Data'!B138</f>
        <v/>
      </c>
      <c r="C139" s="14">
        <f>'Raw Data'!C138</f>
        <v/>
      </c>
      <c r="D139" s="14">
        <f>'Raw Data'!D138</f>
        <v/>
      </c>
      <c r="E139" s="15">
        <f>12.21*'Raw Data'!D138-2.81*'Raw Data'!C138</f>
        <v/>
      </c>
      <c r="F139" s="16">
        <f>20.13*'Raw Data'!C138-5.03*'Raw Data'!D138</f>
        <v/>
      </c>
      <c r="G139" s="17">
        <f>17.76*'Raw Data'!C138+7.43*'Raw Data'!D138</f>
        <v/>
      </c>
    </row>
    <row r="140">
      <c r="A140">
        <f>'Raw Data'!A139</f>
        <v/>
      </c>
      <c r="B140">
        <f>'Raw Data'!B139</f>
        <v/>
      </c>
      <c r="C140" s="14">
        <f>'Raw Data'!C139</f>
        <v/>
      </c>
      <c r="D140" s="14">
        <f>'Raw Data'!D139</f>
        <v/>
      </c>
      <c r="E140" s="15">
        <f>12.21*'Raw Data'!D139-2.81*'Raw Data'!C139</f>
        <v/>
      </c>
      <c r="F140" s="16">
        <f>20.13*'Raw Data'!C139-5.03*'Raw Data'!D139</f>
        <v/>
      </c>
      <c r="G140" s="17">
        <f>17.76*'Raw Data'!C139+7.43*'Raw Data'!D139</f>
        <v/>
      </c>
    </row>
    <row r="141">
      <c r="A141">
        <f>'Raw Data'!A140</f>
        <v/>
      </c>
      <c r="B141">
        <f>'Raw Data'!B140</f>
        <v/>
      </c>
      <c r="C141" s="14">
        <f>'Raw Data'!C140</f>
        <v/>
      </c>
      <c r="D141" s="14">
        <f>'Raw Data'!D140</f>
        <v/>
      </c>
      <c r="E141" s="15">
        <f>12.21*'Raw Data'!D140-2.81*'Raw Data'!C140</f>
        <v/>
      </c>
      <c r="F141" s="16">
        <f>20.13*'Raw Data'!C140-5.03*'Raw Data'!D140</f>
        <v/>
      </c>
      <c r="G141" s="17">
        <f>17.76*'Raw Data'!C140+7.43*'Raw Data'!D140</f>
        <v/>
      </c>
    </row>
    <row r="142">
      <c r="A142">
        <f>'Raw Data'!A141</f>
        <v/>
      </c>
      <c r="B142">
        <f>'Raw Data'!B141</f>
        <v/>
      </c>
      <c r="C142" s="14">
        <f>'Raw Data'!C141</f>
        <v/>
      </c>
      <c r="D142" s="14">
        <f>'Raw Data'!D141</f>
        <v/>
      </c>
      <c r="E142" s="15">
        <f>12.21*'Raw Data'!D141-2.81*'Raw Data'!C141</f>
        <v/>
      </c>
      <c r="F142" s="16">
        <f>20.13*'Raw Data'!C141-5.03*'Raw Data'!D141</f>
        <v/>
      </c>
      <c r="G142" s="17">
        <f>17.76*'Raw Data'!C141+7.43*'Raw Data'!D141</f>
        <v/>
      </c>
    </row>
    <row r="143">
      <c r="A143">
        <f>'Raw Data'!A142</f>
        <v/>
      </c>
      <c r="B143">
        <f>'Raw Data'!B142</f>
        <v/>
      </c>
      <c r="C143" s="14">
        <f>'Raw Data'!C142</f>
        <v/>
      </c>
      <c r="D143" s="14">
        <f>'Raw Data'!D142</f>
        <v/>
      </c>
      <c r="E143" s="15">
        <f>12.21*'Raw Data'!D142-2.81*'Raw Data'!C142</f>
        <v/>
      </c>
      <c r="F143" s="16">
        <f>20.13*'Raw Data'!C142-5.03*'Raw Data'!D142</f>
        <v/>
      </c>
      <c r="G143" s="17">
        <f>17.76*'Raw Data'!C142+7.43*'Raw Data'!D142</f>
        <v/>
      </c>
    </row>
    <row r="144">
      <c r="A144">
        <f>'Raw Data'!A143</f>
        <v/>
      </c>
      <c r="B144">
        <f>'Raw Data'!B143</f>
        <v/>
      </c>
      <c r="C144" s="14">
        <f>'Raw Data'!C143</f>
        <v/>
      </c>
      <c r="D144" s="14">
        <f>'Raw Data'!D143</f>
        <v/>
      </c>
      <c r="E144" s="15">
        <f>12.21*'Raw Data'!D143-2.81*'Raw Data'!C143</f>
        <v/>
      </c>
      <c r="F144" s="16">
        <f>20.13*'Raw Data'!C143-5.03*'Raw Data'!D143</f>
        <v/>
      </c>
      <c r="G144" s="17">
        <f>17.76*'Raw Data'!C143+7.43*'Raw Data'!D143</f>
        <v/>
      </c>
    </row>
    <row r="145">
      <c r="A145">
        <f>'Raw Data'!A144</f>
        <v/>
      </c>
      <c r="B145">
        <f>'Raw Data'!B144</f>
        <v/>
      </c>
      <c r="C145" s="14">
        <f>'Raw Data'!C144</f>
        <v/>
      </c>
      <c r="D145" s="14">
        <f>'Raw Data'!D144</f>
        <v/>
      </c>
      <c r="E145" s="15">
        <f>12.21*'Raw Data'!D144-2.81*'Raw Data'!C144</f>
        <v/>
      </c>
      <c r="F145" s="16">
        <f>20.13*'Raw Data'!C144-5.03*'Raw Data'!D144</f>
        <v/>
      </c>
      <c r="G145" s="17">
        <f>17.76*'Raw Data'!C144+7.43*'Raw Data'!D144</f>
        <v/>
      </c>
    </row>
    <row r="146">
      <c r="A146">
        <f>'Raw Data'!A145</f>
        <v/>
      </c>
      <c r="B146">
        <f>'Raw Data'!B145</f>
        <v/>
      </c>
      <c r="C146" s="14">
        <f>'Raw Data'!C145</f>
        <v/>
      </c>
      <c r="D146" s="14">
        <f>'Raw Data'!D145</f>
        <v/>
      </c>
      <c r="E146" s="15">
        <f>12.21*'Raw Data'!D145-2.81*'Raw Data'!C145</f>
        <v/>
      </c>
      <c r="F146" s="16">
        <f>20.13*'Raw Data'!C145-5.03*'Raw Data'!D145</f>
        <v/>
      </c>
      <c r="G146" s="17">
        <f>17.76*'Raw Data'!C145+7.43*'Raw Data'!D145</f>
        <v/>
      </c>
    </row>
    <row r="147">
      <c r="A147">
        <f>'Raw Data'!A146</f>
        <v/>
      </c>
      <c r="B147">
        <f>'Raw Data'!B146</f>
        <v/>
      </c>
      <c r="C147" s="14">
        <f>'Raw Data'!C146</f>
        <v/>
      </c>
      <c r="D147" s="14">
        <f>'Raw Data'!D146</f>
        <v/>
      </c>
      <c r="E147" s="15">
        <f>12.21*'Raw Data'!D146-2.81*'Raw Data'!C146</f>
        <v/>
      </c>
      <c r="F147" s="16">
        <f>20.13*'Raw Data'!C146-5.03*'Raw Data'!D146</f>
        <v/>
      </c>
      <c r="G147" s="17">
        <f>17.76*'Raw Data'!C146+7.43*'Raw Data'!D146</f>
        <v/>
      </c>
    </row>
    <row r="148">
      <c r="A148">
        <f>'Raw Data'!A147</f>
        <v/>
      </c>
      <c r="B148">
        <f>'Raw Data'!B147</f>
        <v/>
      </c>
      <c r="C148" s="14">
        <f>'Raw Data'!C147</f>
        <v/>
      </c>
      <c r="D148" s="14">
        <f>'Raw Data'!D147</f>
        <v/>
      </c>
      <c r="E148" s="15">
        <f>12.21*'Raw Data'!D147-2.81*'Raw Data'!C147</f>
        <v/>
      </c>
      <c r="F148" s="16">
        <f>20.13*'Raw Data'!C147-5.03*'Raw Data'!D147</f>
        <v/>
      </c>
      <c r="G148" s="17">
        <f>17.76*'Raw Data'!C147+7.43*'Raw Data'!D147</f>
        <v/>
      </c>
    </row>
    <row r="149">
      <c r="A149">
        <f>'Raw Data'!A148</f>
        <v/>
      </c>
      <c r="B149">
        <f>'Raw Data'!B148</f>
        <v/>
      </c>
      <c r="C149" s="14">
        <f>'Raw Data'!C148</f>
        <v/>
      </c>
      <c r="D149" s="14">
        <f>'Raw Data'!D148</f>
        <v/>
      </c>
      <c r="E149" s="15">
        <f>12.21*'Raw Data'!D148-2.81*'Raw Data'!C148</f>
        <v/>
      </c>
      <c r="F149" s="16">
        <f>20.13*'Raw Data'!C148-5.03*'Raw Data'!D148</f>
        <v/>
      </c>
      <c r="G149" s="17">
        <f>17.76*'Raw Data'!C148+7.43*'Raw Data'!D148</f>
        <v/>
      </c>
    </row>
    <row r="150">
      <c r="A150">
        <f>'Raw Data'!A149</f>
        <v/>
      </c>
      <c r="B150">
        <f>'Raw Data'!B149</f>
        <v/>
      </c>
      <c r="C150" s="14">
        <f>'Raw Data'!C149</f>
        <v/>
      </c>
      <c r="D150" s="14">
        <f>'Raw Data'!D149</f>
        <v/>
      </c>
      <c r="E150" s="15">
        <f>12.21*'Raw Data'!D149-2.81*'Raw Data'!C149</f>
        <v/>
      </c>
      <c r="F150" s="16">
        <f>20.13*'Raw Data'!C149-5.03*'Raw Data'!D149</f>
        <v/>
      </c>
      <c r="G150" s="17">
        <f>17.76*'Raw Data'!C149+7.43*'Raw Data'!D149</f>
        <v/>
      </c>
    </row>
    <row r="151">
      <c r="A151">
        <f>'Raw Data'!A150</f>
        <v/>
      </c>
      <c r="B151">
        <f>'Raw Data'!B150</f>
        <v/>
      </c>
      <c r="C151" s="14">
        <f>'Raw Data'!C150</f>
        <v/>
      </c>
      <c r="D151" s="14">
        <f>'Raw Data'!D150</f>
        <v/>
      </c>
      <c r="E151" s="15">
        <f>12.21*'Raw Data'!D150-2.81*'Raw Data'!C150</f>
        <v/>
      </c>
      <c r="F151" s="16">
        <f>20.13*'Raw Data'!C150-5.03*'Raw Data'!D150</f>
        <v/>
      </c>
      <c r="G151" s="17">
        <f>17.76*'Raw Data'!C150+7.43*'Raw Data'!D150</f>
        <v/>
      </c>
    </row>
    <row r="152">
      <c r="A152">
        <f>'Raw Data'!A151</f>
        <v/>
      </c>
      <c r="B152">
        <f>'Raw Data'!B151</f>
        <v/>
      </c>
      <c r="C152" s="14">
        <f>'Raw Data'!C151</f>
        <v/>
      </c>
      <c r="D152" s="14">
        <f>'Raw Data'!D151</f>
        <v/>
      </c>
      <c r="E152" s="15">
        <f>12.21*'Raw Data'!D151-2.81*'Raw Data'!C151</f>
        <v/>
      </c>
      <c r="F152" s="16">
        <f>20.13*'Raw Data'!C151-5.03*'Raw Data'!D151</f>
        <v/>
      </c>
      <c r="G152" s="17">
        <f>17.76*'Raw Data'!C151+7.43*'Raw Data'!D151</f>
        <v/>
      </c>
    </row>
    <row r="153">
      <c r="A153">
        <f>'Raw Data'!A152</f>
        <v/>
      </c>
      <c r="B153">
        <f>'Raw Data'!B152</f>
        <v/>
      </c>
      <c r="C153" s="14">
        <f>'Raw Data'!C152</f>
        <v/>
      </c>
      <c r="D153" s="14">
        <f>'Raw Data'!D152</f>
        <v/>
      </c>
      <c r="E153" s="15">
        <f>12.21*'Raw Data'!D152-2.81*'Raw Data'!C152</f>
        <v/>
      </c>
      <c r="F153" s="16">
        <f>20.13*'Raw Data'!C152-5.03*'Raw Data'!D152</f>
        <v/>
      </c>
      <c r="G153" s="17">
        <f>17.76*'Raw Data'!C152+7.43*'Raw Data'!D152</f>
        <v/>
      </c>
    </row>
    <row r="154">
      <c r="A154">
        <f>'Raw Data'!A153</f>
        <v/>
      </c>
      <c r="B154">
        <f>'Raw Data'!B153</f>
        <v/>
      </c>
      <c r="C154" s="14">
        <f>'Raw Data'!C153</f>
        <v/>
      </c>
      <c r="D154" s="14">
        <f>'Raw Data'!D153</f>
        <v/>
      </c>
      <c r="E154" s="15">
        <f>12.21*'Raw Data'!D153-2.81*'Raw Data'!C153</f>
        <v/>
      </c>
      <c r="F154" s="16">
        <f>20.13*'Raw Data'!C153-5.03*'Raw Data'!D153</f>
        <v/>
      </c>
      <c r="G154" s="17">
        <f>17.76*'Raw Data'!C153+7.43*'Raw Data'!D153</f>
        <v/>
      </c>
    </row>
    <row r="155">
      <c r="A155">
        <f>'Raw Data'!A154</f>
        <v/>
      </c>
      <c r="B155">
        <f>'Raw Data'!B154</f>
        <v/>
      </c>
      <c r="C155" s="14">
        <f>'Raw Data'!C154</f>
        <v/>
      </c>
      <c r="D155" s="14">
        <f>'Raw Data'!D154</f>
        <v/>
      </c>
      <c r="E155" s="15">
        <f>12.21*'Raw Data'!D154-2.81*'Raw Data'!C154</f>
        <v/>
      </c>
      <c r="F155" s="16">
        <f>20.13*'Raw Data'!C154-5.03*'Raw Data'!D154</f>
        <v/>
      </c>
      <c r="G155" s="17">
        <f>17.76*'Raw Data'!C154+7.43*'Raw Data'!D154</f>
        <v/>
      </c>
    </row>
    <row r="156">
      <c r="A156">
        <f>'Raw Data'!A155</f>
        <v/>
      </c>
      <c r="B156">
        <f>'Raw Data'!B155</f>
        <v/>
      </c>
      <c r="C156" s="14">
        <f>'Raw Data'!C155</f>
        <v/>
      </c>
      <c r="D156" s="14">
        <f>'Raw Data'!D155</f>
        <v/>
      </c>
      <c r="E156" s="15">
        <f>12.21*'Raw Data'!D155-2.81*'Raw Data'!C155</f>
        <v/>
      </c>
      <c r="F156" s="16">
        <f>20.13*'Raw Data'!C155-5.03*'Raw Data'!D155</f>
        <v/>
      </c>
      <c r="G156" s="17">
        <f>17.76*'Raw Data'!C155+7.43*'Raw Data'!D155</f>
        <v/>
      </c>
    </row>
    <row r="157">
      <c r="A157">
        <f>'Raw Data'!A156</f>
        <v/>
      </c>
      <c r="B157">
        <f>'Raw Data'!B156</f>
        <v/>
      </c>
      <c r="C157" s="14">
        <f>'Raw Data'!C156</f>
        <v/>
      </c>
      <c r="D157" s="14">
        <f>'Raw Data'!D156</f>
        <v/>
      </c>
      <c r="E157" s="15">
        <f>12.21*'Raw Data'!D156-2.81*'Raw Data'!C156</f>
        <v/>
      </c>
      <c r="F157" s="16">
        <f>20.13*'Raw Data'!C156-5.03*'Raw Data'!D156</f>
        <v/>
      </c>
      <c r="G157" s="17">
        <f>17.76*'Raw Data'!C156+7.43*'Raw Data'!D156</f>
        <v/>
      </c>
    </row>
    <row r="158">
      <c r="A158">
        <f>'Raw Data'!A157</f>
        <v/>
      </c>
      <c r="B158">
        <f>'Raw Data'!B157</f>
        <v/>
      </c>
      <c r="C158" s="14">
        <f>'Raw Data'!C157</f>
        <v/>
      </c>
      <c r="D158" s="14">
        <f>'Raw Data'!D157</f>
        <v/>
      </c>
      <c r="E158" s="15">
        <f>12.21*'Raw Data'!D157-2.81*'Raw Data'!C157</f>
        <v/>
      </c>
      <c r="F158" s="16">
        <f>20.13*'Raw Data'!C157-5.03*'Raw Data'!D157</f>
        <v/>
      </c>
      <c r="G158" s="17">
        <f>17.76*'Raw Data'!C157+7.43*'Raw Data'!D157</f>
        <v/>
      </c>
    </row>
    <row r="159">
      <c r="A159">
        <f>'Raw Data'!A158</f>
        <v/>
      </c>
      <c r="B159">
        <f>'Raw Data'!B158</f>
        <v/>
      </c>
      <c r="C159" s="14">
        <f>'Raw Data'!C158</f>
        <v/>
      </c>
      <c r="D159" s="14">
        <f>'Raw Data'!D158</f>
        <v/>
      </c>
      <c r="E159" s="15">
        <f>12.21*'Raw Data'!D158-2.81*'Raw Data'!C158</f>
        <v/>
      </c>
      <c r="F159" s="16">
        <f>20.13*'Raw Data'!C158-5.03*'Raw Data'!D158</f>
        <v/>
      </c>
      <c r="G159" s="17">
        <f>17.76*'Raw Data'!C158+7.43*'Raw Data'!D158</f>
        <v/>
      </c>
    </row>
    <row r="160">
      <c r="A160">
        <f>'Raw Data'!A159</f>
        <v/>
      </c>
      <c r="B160">
        <f>'Raw Data'!B159</f>
        <v/>
      </c>
      <c r="C160" s="14">
        <f>'Raw Data'!C159</f>
        <v/>
      </c>
      <c r="D160" s="14">
        <f>'Raw Data'!D159</f>
        <v/>
      </c>
      <c r="E160" s="15">
        <f>12.21*'Raw Data'!D159-2.81*'Raw Data'!C159</f>
        <v/>
      </c>
      <c r="F160" s="16">
        <f>20.13*'Raw Data'!C159-5.03*'Raw Data'!D159</f>
        <v/>
      </c>
      <c r="G160" s="17">
        <f>17.76*'Raw Data'!C159+7.43*'Raw Data'!D159</f>
        <v/>
      </c>
    </row>
    <row r="161">
      <c r="A161">
        <f>'Raw Data'!A160</f>
        <v/>
      </c>
      <c r="B161">
        <f>'Raw Data'!B160</f>
        <v/>
      </c>
      <c r="C161" s="14">
        <f>'Raw Data'!C160</f>
        <v/>
      </c>
      <c r="D161" s="14">
        <f>'Raw Data'!D160</f>
        <v/>
      </c>
      <c r="E161" s="15">
        <f>12.21*'Raw Data'!D160-2.81*'Raw Data'!C160</f>
        <v/>
      </c>
      <c r="F161" s="16">
        <f>20.13*'Raw Data'!C160-5.03*'Raw Data'!D160</f>
        <v/>
      </c>
      <c r="G161" s="17">
        <f>17.76*'Raw Data'!C160+7.43*'Raw Data'!D160</f>
        <v/>
      </c>
    </row>
    <row r="162">
      <c r="A162">
        <f>'Raw Data'!A161</f>
        <v/>
      </c>
      <c r="B162">
        <f>'Raw Data'!B161</f>
        <v/>
      </c>
      <c r="C162" s="14">
        <f>'Raw Data'!C161</f>
        <v/>
      </c>
      <c r="D162" s="14">
        <f>'Raw Data'!D161</f>
        <v/>
      </c>
      <c r="E162" s="15">
        <f>12.21*'Raw Data'!D161-2.81*'Raw Data'!C161</f>
        <v/>
      </c>
      <c r="F162" s="16">
        <f>20.13*'Raw Data'!C161-5.03*'Raw Data'!D161</f>
        <v/>
      </c>
      <c r="G162" s="17">
        <f>17.76*'Raw Data'!C161+7.43*'Raw Data'!D161</f>
        <v/>
      </c>
    </row>
    <row r="163">
      <c r="A163">
        <f>'Raw Data'!A162</f>
        <v/>
      </c>
      <c r="B163">
        <f>'Raw Data'!B162</f>
        <v/>
      </c>
      <c r="C163" s="14">
        <f>'Raw Data'!C162</f>
        <v/>
      </c>
      <c r="D163" s="14">
        <f>'Raw Data'!D162</f>
        <v/>
      </c>
      <c r="E163" s="15">
        <f>12.21*'Raw Data'!D162-2.81*'Raw Data'!C162</f>
        <v/>
      </c>
      <c r="F163" s="16">
        <f>20.13*'Raw Data'!C162-5.03*'Raw Data'!D162</f>
        <v/>
      </c>
      <c r="G163" s="17">
        <f>17.76*'Raw Data'!C162+7.43*'Raw Data'!D162</f>
        <v/>
      </c>
    </row>
    <row r="164">
      <c r="A164">
        <f>'Raw Data'!A163</f>
        <v/>
      </c>
      <c r="B164">
        <f>'Raw Data'!B163</f>
        <v/>
      </c>
      <c r="C164" s="14">
        <f>'Raw Data'!C163</f>
        <v/>
      </c>
      <c r="D164" s="14">
        <f>'Raw Data'!D163</f>
        <v/>
      </c>
      <c r="E164" s="15">
        <f>12.21*'Raw Data'!D163-2.81*'Raw Data'!C163</f>
        <v/>
      </c>
      <c r="F164" s="16">
        <f>20.13*'Raw Data'!C163-5.03*'Raw Data'!D163</f>
        <v/>
      </c>
      <c r="G164" s="17">
        <f>17.76*'Raw Data'!C163+7.43*'Raw Data'!D163</f>
        <v/>
      </c>
    </row>
    <row r="165">
      <c r="A165">
        <f>'Raw Data'!A164</f>
        <v/>
      </c>
      <c r="B165">
        <f>'Raw Data'!B164</f>
        <v/>
      </c>
      <c r="C165" s="14">
        <f>'Raw Data'!C164</f>
        <v/>
      </c>
      <c r="D165" s="14">
        <f>'Raw Data'!D164</f>
        <v/>
      </c>
      <c r="E165" s="15">
        <f>12.21*'Raw Data'!D164-2.81*'Raw Data'!C164</f>
        <v/>
      </c>
      <c r="F165" s="16">
        <f>20.13*'Raw Data'!C164-5.03*'Raw Data'!D164</f>
        <v/>
      </c>
      <c r="G165" s="17">
        <f>17.76*'Raw Data'!C164+7.43*'Raw Data'!D164</f>
        <v/>
      </c>
    </row>
    <row r="166">
      <c r="A166">
        <f>'Raw Data'!A165</f>
        <v/>
      </c>
      <c r="B166">
        <f>'Raw Data'!B165</f>
        <v/>
      </c>
      <c r="C166" s="14">
        <f>'Raw Data'!C165</f>
        <v/>
      </c>
      <c r="D166" s="14">
        <f>'Raw Data'!D165</f>
        <v/>
      </c>
      <c r="E166" s="15">
        <f>12.21*'Raw Data'!D165-2.81*'Raw Data'!C165</f>
        <v/>
      </c>
      <c r="F166" s="16">
        <f>20.13*'Raw Data'!C165-5.03*'Raw Data'!D165</f>
        <v/>
      </c>
      <c r="G166" s="17">
        <f>17.76*'Raw Data'!C165+7.43*'Raw Data'!D165</f>
        <v/>
      </c>
    </row>
    <row r="167">
      <c r="A167">
        <f>'Raw Data'!A166</f>
        <v/>
      </c>
      <c r="B167">
        <f>'Raw Data'!B166</f>
        <v/>
      </c>
      <c r="C167" s="14">
        <f>'Raw Data'!C166</f>
        <v/>
      </c>
      <c r="D167" s="14">
        <f>'Raw Data'!D166</f>
        <v/>
      </c>
      <c r="E167" s="15">
        <f>12.21*'Raw Data'!D166-2.81*'Raw Data'!C166</f>
        <v/>
      </c>
      <c r="F167" s="16">
        <f>20.13*'Raw Data'!C166-5.03*'Raw Data'!D166</f>
        <v/>
      </c>
      <c r="G167" s="17">
        <f>17.76*'Raw Data'!C166+7.43*'Raw Data'!D166</f>
        <v/>
      </c>
    </row>
    <row r="168">
      <c r="A168">
        <f>'Raw Data'!A167</f>
        <v/>
      </c>
      <c r="B168">
        <f>'Raw Data'!B167</f>
        <v/>
      </c>
      <c r="C168" s="14">
        <f>'Raw Data'!C167</f>
        <v/>
      </c>
      <c r="D168" s="14">
        <f>'Raw Data'!D167</f>
        <v/>
      </c>
      <c r="E168" s="15">
        <f>12.21*'Raw Data'!D167-2.81*'Raw Data'!C167</f>
        <v/>
      </c>
      <c r="F168" s="16">
        <f>20.13*'Raw Data'!C167-5.03*'Raw Data'!D167</f>
        <v/>
      </c>
      <c r="G168" s="17">
        <f>17.76*'Raw Data'!C167+7.43*'Raw Data'!D167</f>
        <v/>
      </c>
    </row>
    <row r="169">
      <c r="A169">
        <f>'Raw Data'!A168</f>
        <v/>
      </c>
      <c r="B169">
        <f>'Raw Data'!B168</f>
        <v/>
      </c>
      <c r="C169" s="14">
        <f>'Raw Data'!C168</f>
        <v/>
      </c>
      <c r="D169" s="14">
        <f>'Raw Data'!D168</f>
        <v/>
      </c>
      <c r="E169" s="15">
        <f>12.21*'Raw Data'!D168-2.81*'Raw Data'!C168</f>
        <v/>
      </c>
      <c r="F169" s="16">
        <f>20.13*'Raw Data'!C168-5.03*'Raw Data'!D168</f>
        <v/>
      </c>
      <c r="G169" s="17">
        <f>17.76*'Raw Data'!C168+7.43*'Raw Data'!D168</f>
        <v/>
      </c>
    </row>
    <row r="170">
      <c r="A170">
        <f>'Raw Data'!A169</f>
        <v/>
      </c>
      <c r="B170">
        <f>'Raw Data'!B169</f>
        <v/>
      </c>
      <c r="C170" s="14">
        <f>'Raw Data'!C169</f>
        <v/>
      </c>
      <c r="D170" s="14">
        <f>'Raw Data'!D169</f>
        <v/>
      </c>
      <c r="E170" s="15">
        <f>12.21*'Raw Data'!D169-2.81*'Raw Data'!C169</f>
        <v/>
      </c>
      <c r="F170" s="16">
        <f>20.13*'Raw Data'!C169-5.03*'Raw Data'!D169</f>
        <v/>
      </c>
      <c r="G170" s="17">
        <f>17.76*'Raw Data'!C169+7.43*'Raw Data'!D169</f>
        <v/>
      </c>
    </row>
    <row r="171">
      <c r="A171">
        <f>'Raw Data'!A170</f>
        <v/>
      </c>
      <c r="B171">
        <f>'Raw Data'!B170</f>
        <v/>
      </c>
      <c r="C171" s="14">
        <f>'Raw Data'!C170</f>
        <v/>
      </c>
      <c r="D171" s="14">
        <f>'Raw Data'!D170</f>
        <v/>
      </c>
      <c r="E171" s="15">
        <f>12.21*'Raw Data'!D170-2.81*'Raw Data'!C170</f>
        <v/>
      </c>
      <c r="F171" s="16">
        <f>20.13*'Raw Data'!C170-5.03*'Raw Data'!D170</f>
        <v/>
      </c>
      <c r="G171" s="17">
        <f>17.76*'Raw Data'!C170+7.43*'Raw Data'!D170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SUMMARY STATISTICS BY TREATMENT</t>
        </is>
      </c>
    </row>
    <row r="2">
      <c r="A2" s="12" t="inlineStr">
        <is>
          <t>All cells contain Excel formulas. Click any cell to view the formula in the formula bar.</t>
        </is>
      </c>
    </row>
    <row r="3">
      <c r="A3" s="13" t="inlineStr">
        <is>
          <t>Treatment</t>
        </is>
      </c>
      <c r="B3" s="13" t="inlineStr">
        <is>
          <t>N</t>
        </is>
      </c>
      <c r="C3" s="13" t="inlineStr">
        <is>
          <t>Mean Chl a</t>
        </is>
      </c>
      <c r="D3" s="13" t="inlineStr">
        <is>
          <t>SD Chl a</t>
        </is>
      </c>
      <c r="E3" s="13" t="inlineStr">
        <is>
          <t>Mean Chl b</t>
        </is>
      </c>
      <c r="F3" s="13" t="inlineStr">
        <is>
          <t>SD Chl b</t>
        </is>
      </c>
      <c r="G3" s="13" t="inlineStr">
        <is>
          <t>Mean Total</t>
        </is>
      </c>
      <c r="H3" s="13" t="inlineStr">
        <is>
          <t>SD Total</t>
        </is>
      </c>
      <c r="I3" s="13" t="inlineStr">
        <is>
          <t>Min Total</t>
        </is>
      </c>
      <c r="J3" s="13" t="inlineStr">
        <is>
          <t>Max Total</t>
        </is>
      </c>
    </row>
    <row r="4">
      <c r="A4" s="18" t="inlineStr">
        <is>
          <t>Bokashi Treated</t>
        </is>
      </c>
      <c r="B4">
        <f>COUNTA(Calculations!A4:A75)</f>
        <v/>
      </c>
      <c r="C4" s="14">
        <f>AVERAGE(Calculations!E4:E75)</f>
        <v/>
      </c>
      <c r="D4" s="14">
        <f>STDEV(Calculations!E4:E75)</f>
        <v/>
      </c>
      <c r="E4" s="14">
        <f>AVERAGE(Calculations!F4:F75)</f>
        <v/>
      </c>
      <c r="F4" s="14">
        <f>STDEV(Calculations!F4:F75)</f>
        <v/>
      </c>
      <c r="G4" s="19">
        <f>AVERAGE(Calculations!G4:G75)</f>
        <v/>
      </c>
      <c r="H4" s="17">
        <f>STDEV(Calculations!G4:G75)</f>
        <v/>
      </c>
      <c r="I4" s="14">
        <f>MIN(Calculations!G4:G75)</f>
        <v/>
      </c>
      <c r="J4" s="14">
        <f>MAX(Calculations!G4:G75)</f>
        <v/>
      </c>
    </row>
    <row r="5">
      <c r="A5" s="20" t="inlineStr">
        <is>
          <t>Untreated (Unhealthy)</t>
        </is>
      </c>
      <c r="B5">
        <f>COUNTA(Calculations!A76:A147)</f>
        <v/>
      </c>
      <c r="C5" s="14">
        <f>AVERAGE(Calculations!E76:E147)</f>
        <v/>
      </c>
      <c r="D5" s="14">
        <f>STDEV(Calculations!E76:E147)</f>
        <v/>
      </c>
      <c r="E5" s="14">
        <f>AVERAGE(Calculations!F76:F147)</f>
        <v/>
      </c>
      <c r="F5" s="14">
        <f>STDEV(Calculations!F76:F147)</f>
        <v/>
      </c>
      <c r="G5" s="19">
        <f>AVERAGE(Calculations!G76:G147)</f>
        <v/>
      </c>
      <c r="H5" s="17">
        <f>STDEV(Calculations!G76:G147)</f>
        <v/>
      </c>
      <c r="I5" s="14">
        <f>MIN(Calculations!G76:G147)</f>
        <v/>
      </c>
      <c r="J5" s="14">
        <f>MAX(Calculations!G76:G147)</f>
        <v/>
      </c>
    </row>
    <row r="6">
      <c r="A6" s="21" t="inlineStr">
        <is>
          <t>Healthy Reference</t>
        </is>
      </c>
      <c r="B6">
        <f>COUNTA(Calculations!A148:A171)</f>
        <v/>
      </c>
      <c r="C6" s="14">
        <f>AVERAGE(Calculations!E148:E171)</f>
        <v/>
      </c>
      <c r="D6" s="14">
        <f>STDEV(Calculations!E148:E171)</f>
        <v/>
      </c>
      <c r="E6" s="14">
        <f>AVERAGE(Calculations!F148:F171)</f>
        <v/>
      </c>
      <c r="F6" s="14">
        <f>STDEV(Calculations!F148:F171)</f>
        <v/>
      </c>
      <c r="G6" s="19">
        <f>AVERAGE(Calculations!G148:G171)</f>
        <v/>
      </c>
      <c r="H6" s="17">
        <f>STDEV(Calculations!G148:G171)</f>
        <v/>
      </c>
      <c r="I6" s="14">
        <f>MIN(Calculations!G148:G171)</f>
        <v/>
      </c>
      <c r="J6" s="14">
        <f>MAX(Calculations!G148:G171)</f>
        <v/>
      </c>
    </row>
    <row r="9">
      <c r="A9" s="22" t="inlineStr">
        <is>
          <t>FORMULAS USED (Bokashi Treated example):</t>
        </is>
      </c>
    </row>
    <row r="10">
      <c r="A10" s="23" t="inlineStr">
        <is>
          <t>Statistic</t>
        </is>
      </c>
      <c r="B10" s="23" t="inlineStr">
        <is>
          <t>Excel Formula</t>
        </is>
      </c>
      <c r="C10" s="23" t="inlineStr">
        <is>
          <t>Description</t>
        </is>
      </c>
    </row>
    <row r="11">
      <c r="A11" s="24" t="inlineStr">
        <is>
          <t>N (Count)</t>
        </is>
      </c>
      <c r="B11" s="25">
        <f>COUNTA(Calculations!A4:A75)</f>
        <v/>
      </c>
      <c r="C11" t="inlineStr">
        <is>
          <t>Count of samples</t>
        </is>
      </c>
    </row>
    <row r="12">
      <c r="A12" s="24" t="inlineStr">
        <is>
          <t>Mean Chl a</t>
        </is>
      </c>
      <c r="B12" s="25">
        <f>AVERAGE(Calculations!E4:E75)</f>
        <v/>
      </c>
      <c r="C12" t="inlineStr">
        <is>
          <t>Average of Chl a values</t>
        </is>
      </c>
    </row>
    <row r="13">
      <c r="A13" s="24" t="inlineStr">
        <is>
          <t>SD Chl a</t>
        </is>
      </c>
      <c r="B13" s="25">
        <f>STDEV(Calculations!E4:E75)</f>
        <v/>
      </c>
      <c r="C13" t="inlineStr">
        <is>
          <t>Standard deviation of Chl a</t>
        </is>
      </c>
    </row>
    <row r="14">
      <c r="A14" s="24" t="inlineStr">
        <is>
          <t>Mean Chl b</t>
        </is>
      </c>
      <c r="B14" s="25">
        <f>AVERAGE(Calculations!F4:F75)</f>
        <v/>
      </c>
      <c r="C14" t="inlineStr">
        <is>
          <t>Average of Chl b values</t>
        </is>
      </c>
    </row>
    <row r="15">
      <c r="A15" s="24" t="inlineStr">
        <is>
          <t>SD Chl b</t>
        </is>
      </c>
      <c r="B15" s="25">
        <f>STDEV(Calculations!F4:F75)</f>
        <v/>
      </c>
      <c r="C15" t="inlineStr">
        <is>
          <t>Standard deviation of Chl b</t>
        </is>
      </c>
    </row>
    <row r="16">
      <c r="A16" s="24" t="inlineStr">
        <is>
          <t>Mean Total</t>
        </is>
      </c>
      <c r="B16" s="25">
        <f>AVERAGE(Calculations!G4:G75)</f>
        <v/>
      </c>
      <c r="C16" t="inlineStr">
        <is>
          <t>Average of Total Chl</t>
        </is>
      </c>
    </row>
    <row r="17">
      <c r="A17" s="24" t="inlineStr">
        <is>
          <t>SD Total</t>
        </is>
      </c>
      <c r="B17" s="25">
        <f>STDEV(Calculations!G4:G75)</f>
        <v/>
      </c>
      <c r="C17" t="inlineStr">
        <is>
          <t>Standard deviation of Total</t>
        </is>
      </c>
    </row>
    <row r="18">
      <c r="A18" s="24" t="inlineStr">
        <is>
          <t>Min Total</t>
        </is>
      </c>
      <c r="B18" s="25">
        <f>MIN(Calculations!G4:G75)</f>
        <v/>
      </c>
      <c r="C18" t="inlineStr">
        <is>
          <t>Lowest Total value</t>
        </is>
      </c>
    </row>
    <row r="19">
      <c r="A19" s="24" t="inlineStr">
        <is>
          <t>Max Total</t>
        </is>
      </c>
      <c r="B19" s="25">
        <f>MAX(Calculations!G4:G75)</f>
        <v/>
      </c>
      <c r="C19" t="inlineStr">
        <is>
          <t>Highest Total value</t>
        </is>
      </c>
    </row>
  </sheetData>
  <mergeCells count="3">
    <mergeCell ref="A9:C9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7" t="inlineStr">
        <is>
          <t>SUMMARY STATISTICS BY INDIVIDUAL TREE</t>
        </is>
      </c>
    </row>
    <row r="2">
      <c r="A2" s="12" t="inlineStr">
        <is>
          <t>All cells contain Excel formulas. Click any cell to view the formula in the formula bar.</t>
        </is>
      </c>
    </row>
    <row r="3">
      <c r="A3" s="13" t="inlineStr">
        <is>
          <t>Tree</t>
        </is>
      </c>
      <c r="B3" s="13" t="inlineStr">
        <is>
          <t>Treatment</t>
        </is>
      </c>
      <c r="C3" s="13" t="inlineStr">
        <is>
          <t>N</t>
        </is>
      </c>
      <c r="D3" s="13" t="inlineStr">
        <is>
          <t>Mean Chl a</t>
        </is>
      </c>
      <c r="E3" s="13" t="inlineStr">
        <is>
          <t>SD Chl a</t>
        </is>
      </c>
      <c r="F3" s="13" t="inlineStr">
        <is>
          <t>Mean Chl b</t>
        </is>
      </c>
      <c r="G3" s="13" t="inlineStr">
        <is>
          <t>SD Chl b</t>
        </is>
      </c>
      <c r="H3" s="13" t="inlineStr">
        <is>
          <t>Mean Total</t>
        </is>
      </c>
      <c r="I3" s="13" t="inlineStr">
        <is>
          <t>SD Total</t>
        </is>
      </c>
    </row>
    <row r="4">
      <c r="A4" s="24" t="inlineStr">
        <is>
          <t>T1</t>
        </is>
      </c>
      <c r="B4" s="9" t="inlineStr">
        <is>
          <t>Bokashi Treated</t>
        </is>
      </c>
      <c r="C4">
        <f>COUNTA(Calculations!A4:A27)</f>
        <v/>
      </c>
      <c r="D4" s="14">
        <f>AVERAGE(Calculations!E4:E27)</f>
        <v/>
      </c>
      <c r="E4" s="14">
        <f>STDEV(Calculations!E4:E27)</f>
        <v/>
      </c>
      <c r="F4" s="14">
        <f>AVERAGE(Calculations!F4:F27)</f>
        <v/>
      </c>
      <c r="G4" s="14">
        <f>STDEV(Calculations!F4:F27)</f>
        <v/>
      </c>
      <c r="H4" s="26">
        <f>AVERAGE(Calculations!G4:G27)</f>
        <v/>
      </c>
      <c r="I4" s="17">
        <f>STDEV(Calculations!G4:G27)</f>
        <v/>
      </c>
    </row>
    <row r="5">
      <c r="A5" s="24" t="inlineStr">
        <is>
          <t>T2</t>
        </is>
      </c>
      <c r="B5" s="9" t="inlineStr">
        <is>
          <t>Bokashi Treated</t>
        </is>
      </c>
      <c r="C5">
        <f>COUNTA(Calculations!A28:A51)</f>
        <v/>
      </c>
      <c r="D5" s="14">
        <f>AVERAGE(Calculations!E28:E51)</f>
        <v/>
      </c>
      <c r="E5" s="14">
        <f>STDEV(Calculations!E28:E51)</f>
        <v/>
      </c>
      <c r="F5" s="14">
        <f>AVERAGE(Calculations!F28:F51)</f>
        <v/>
      </c>
      <c r="G5" s="14">
        <f>STDEV(Calculations!F28:F51)</f>
        <v/>
      </c>
      <c r="H5" s="26">
        <f>AVERAGE(Calculations!G28:G51)</f>
        <v/>
      </c>
      <c r="I5" s="17">
        <f>STDEV(Calculations!G28:G51)</f>
        <v/>
      </c>
    </row>
    <row r="6">
      <c r="A6" s="24" t="inlineStr">
        <is>
          <t>T3</t>
        </is>
      </c>
      <c r="B6" s="9" t="inlineStr">
        <is>
          <t>Bokashi Treated</t>
        </is>
      </c>
      <c r="C6">
        <f>COUNTA(Calculations!A52:A75)</f>
        <v/>
      </c>
      <c r="D6" s="14">
        <f>AVERAGE(Calculations!E52:E75)</f>
        <v/>
      </c>
      <c r="E6" s="14">
        <f>STDEV(Calculations!E52:E75)</f>
        <v/>
      </c>
      <c r="F6" s="14">
        <f>AVERAGE(Calculations!F52:F75)</f>
        <v/>
      </c>
      <c r="G6" s="14">
        <f>STDEV(Calculations!F52:F75)</f>
        <v/>
      </c>
      <c r="H6" s="26">
        <f>AVERAGE(Calculations!G52:G75)</f>
        <v/>
      </c>
      <c r="I6" s="17">
        <f>STDEV(Calculations!G52:G75)</f>
        <v/>
      </c>
    </row>
    <row r="7">
      <c r="A7" s="24" t="inlineStr">
        <is>
          <t>T4</t>
        </is>
      </c>
      <c r="B7" s="10" t="inlineStr">
        <is>
          <t>Untreated (Unhealthy)</t>
        </is>
      </c>
      <c r="C7">
        <f>COUNTA(Calculations!A76:A99)</f>
        <v/>
      </c>
      <c r="D7" s="14">
        <f>AVERAGE(Calculations!E76:E99)</f>
        <v/>
      </c>
      <c r="E7" s="14">
        <f>STDEV(Calculations!E76:E99)</f>
        <v/>
      </c>
      <c r="F7" s="14">
        <f>AVERAGE(Calculations!F76:F99)</f>
        <v/>
      </c>
      <c r="G7" s="14">
        <f>STDEV(Calculations!F76:F99)</f>
        <v/>
      </c>
      <c r="H7" s="26">
        <f>AVERAGE(Calculations!G76:G99)</f>
        <v/>
      </c>
      <c r="I7" s="17">
        <f>STDEV(Calculations!G76:G99)</f>
        <v/>
      </c>
    </row>
    <row r="8">
      <c r="A8" s="24" t="inlineStr">
        <is>
          <t>T5</t>
        </is>
      </c>
      <c r="B8" s="10" t="inlineStr">
        <is>
          <t>Untreated (Unhealthy)</t>
        </is>
      </c>
      <c r="C8">
        <f>COUNTA(Calculations!A100:A123)</f>
        <v/>
      </c>
      <c r="D8" s="14">
        <f>AVERAGE(Calculations!E100:E123)</f>
        <v/>
      </c>
      <c r="E8" s="14">
        <f>STDEV(Calculations!E100:E123)</f>
        <v/>
      </c>
      <c r="F8" s="14">
        <f>AVERAGE(Calculations!F100:F123)</f>
        <v/>
      </c>
      <c r="G8" s="14">
        <f>STDEV(Calculations!F100:F123)</f>
        <v/>
      </c>
      <c r="H8" s="26">
        <f>AVERAGE(Calculations!G100:G123)</f>
        <v/>
      </c>
      <c r="I8" s="17">
        <f>STDEV(Calculations!G100:G123)</f>
        <v/>
      </c>
    </row>
    <row r="9">
      <c r="A9" s="24" t="inlineStr">
        <is>
          <t>T6</t>
        </is>
      </c>
      <c r="B9" s="10" t="inlineStr">
        <is>
          <t>Untreated (Unhealthy)</t>
        </is>
      </c>
      <c r="C9">
        <f>COUNTA(Calculations!A124:A147)</f>
        <v/>
      </c>
      <c r="D9" s="14">
        <f>AVERAGE(Calculations!E124:E147)</f>
        <v/>
      </c>
      <c r="E9" s="14">
        <f>STDEV(Calculations!E124:E147)</f>
        <v/>
      </c>
      <c r="F9" s="14">
        <f>AVERAGE(Calculations!F124:F147)</f>
        <v/>
      </c>
      <c r="G9" s="14">
        <f>STDEV(Calculations!F124:F147)</f>
        <v/>
      </c>
      <c r="H9" s="26">
        <f>AVERAGE(Calculations!G124:G147)</f>
        <v/>
      </c>
      <c r="I9" s="17">
        <f>STDEV(Calculations!G124:G147)</f>
        <v/>
      </c>
    </row>
    <row r="10">
      <c r="A10" s="24" t="inlineStr">
        <is>
          <t>T7</t>
        </is>
      </c>
      <c r="B10" s="11" t="inlineStr">
        <is>
          <t>Healthy Reference</t>
        </is>
      </c>
      <c r="C10">
        <f>COUNTA(Calculations!A148:A171)</f>
        <v/>
      </c>
      <c r="D10" s="14">
        <f>AVERAGE(Calculations!E148:E171)</f>
        <v/>
      </c>
      <c r="E10" s="14">
        <f>STDEV(Calculations!E148:E171)</f>
        <v/>
      </c>
      <c r="F10" s="14">
        <f>AVERAGE(Calculations!F148:F171)</f>
        <v/>
      </c>
      <c r="G10" s="14">
        <f>STDEV(Calculations!F148:F171)</f>
        <v/>
      </c>
      <c r="H10" s="26">
        <f>AVERAGE(Calculations!G148:G171)</f>
        <v/>
      </c>
      <c r="I10" s="17">
        <f>STDEV(Calculations!G148:G171)</f>
        <v/>
      </c>
    </row>
    <row r="13">
      <c r="A13" s="22" t="inlineStr">
        <is>
          <t>FORMULAS USED (T1 example, rows 4-27):</t>
        </is>
      </c>
    </row>
    <row r="14">
      <c r="A14" s="23" t="inlineStr">
        <is>
          <t>Statistic</t>
        </is>
      </c>
      <c r="B14" s="23" t="inlineStr">
        <is>
          <t>Excel Formula (T1)</t>
        </is>
      </c>
    </row>
    <row r="15">
      <c r="A15" s="24" t="inlineStr">
        <is>
          <t>N (Count)</t>
        </is>
      </c>
      <c r="B15" s="25">
        <f>COUNTA(Calculations!A4:A27)</f>
        <v/>
      </c>
    </row>
    <row r="16">
      <c r="A16" s="24" t="inlineStr">
        <is>
          <t>Mean Chl a</t>
        </is>
      </c>
      <c r="B16" s="25">
        <f>AVERAGE(Calculations!E4:E27)</f>
        <v/>
      </c>
    </row>
    <row r="17">
      <c r="A17" s="24" t="inlineStr">
        <is>
          <t>SD Chl a</t>
        </is>
      </c>
      <c r="B17" s="25">
        <f>STDEV(Calculations!E4:E27)</f>
        <v/>
      </c>
    </row>
    <row r="18">
      <c r="A18" s="24" t="inlineStr">
        <is>
          <t>Mean Chl b</t>
        </is>
      </c>
      <c r="B18" s="25">
        <f>AVERAGE(Calculations!F4:F27)</f>
        <v/>
      </c>
    </row>
    <row r="19">
      <c r="A19" s="24" t="inlineStr">
        <is>
          <t>SD Chl b</t>
        </is>
      </c>
      <c r="B19" s="25">
        <f>STDEV(Calculations!F4:F27)</f>
        <v/>
      </c>
    </row>
    <row r="20">
      <c r="A20" s="24" t="inlineStr">
        <is>
          <t>Mean Total</t>
        </is>
      </c>
      <c r="B20" s="25">
        <f>AVERAGE(Calculations!G4:G27)</f>
        <v/>
      </c>
    </row>
    <row r="21">
      <c r="A21" s="24" t="inlineStr">
        <is>
          <t>SD Total</t>
        </is>
      </c>
      <c r="B21" s="25">
        <f>STDEV(Calculations!G4:G27)</f>
        <v/>
      </c>
    </row>
  </sheetData>
  <mergeCells count="3">
    <mergeCell ref="A1:I1"/>
    <mergeCell ref="A13:C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7" t="inlineStr">
        <is>
          <t>RESULTS: DESCRIPTIONS OF ALL 8 GRAPHS</t>
        </is>
      </c>
    </row>
    <row r="3">
      <c r="A3" s="22" t="inlineStr">
        <is>
          <t>PLOT 1: VIOLIN PLOT — RECOMMENDED FOR PRESENTATIONS</t>
        </is>
      </c>
    </row>
    <row r="4" ht="220" customHeight="1">
      <c r="A4" s="28" t="inlineStr">
        <is>
          <t>WHAT IT SHOWS:
Distribution of total chlorophyll for each treatment using violin plots. Width = data density at that concentration. Each dot = one of 168 leaf measurements. Inner box shows median and quartiles.
KEY FINDINGS:
• Healthy Reference (T7): 13.66 ± 2.12 μg/mL — highest, tightest distribution
• Bokashi Treated (T1-T3): 10.61 ± 2.37 μg/mL — intermediate
• Untreated Unhealthy (T4-T6): 9.80 ± 2.73 μg/mL — lowest
• Healthy trees have 39.4% MORE chlorophyll than untreated
• Bokashi adds 8.3% over untreated
WHY USE: Shows full distribution AND every individual data point. Most transparent way to present 168 measurements.</t>
        </is>
      </c>
    </row>
    <row r="6">
      <c r="A6" s="22" t="inlineStr">
        <is>
          <t>PLOT 2: BOX PLOT BY INDIVIDUAL TREE</t>
        </is>
      </c>
    </row>
    <row r="7" ht="220" customHeight="1">
      <c r="A7" s="28" t="inlineStr">
        <is>
          <t>WHAT IT SHOWS:
Box plot per tree, colored by treatment. Each box: median line, IQR (25th-75th percentile), whiskers to min/max.
KEY FINDINGS (mean Total Chl):
• T7 Healthy: 13.66 μg/mL (highest)
• T2 Bokashi: 12.35 — strong Bokashi response
• T4 Untreated: 11.80
• T3 Bokashi: 10.62
• T6 Untreated: 9.21
• T1 Bokashi: 8.85 — weak Bokashi response
• T5 Untreated: 8.37 (lowest)
WHY USE: Reveals individual tree variation. Same treatment ≠ same response (T1 vs T2 both Bokashi but very different).</t>
        </is>
      </c>
    </row>
    <row r="9">
      <c r="A9" s="22" t="inlineStr">
        <is>
          <t>PLOT 3: BAR CHART WITH ERROR BARS — SIMPLEST</t>
        </is>
      </c>
    </row>
    <row r="10" ht="220" customHeight="1">
      <c r="A10" s="28" t="inlineStr">
        <is>
          <t>WHAT IT SHOWS:
Bar heights = means; error bars = ±1 SD. Simplest summary of treatment effect.
KEY FINDINGS:
• Bokashi: 10.61 ± 2.37 (n=72)
• Untreated: 9.80 ± 2.73 (n=72)
• Healthy: 13.66 ± 2.12 (n=24)
COMPARISONS:
• Healthy vs Untreated: +39.4%
• Bokashi vs Untreated: +8.3%
• Healthy vs Bokashi: +28.9%
WHY USE: Cleanest possible summary. Perfect for reports/presentations where simplicity matters.</t>
        </is>
      </c>
    </row>
    <row r="12">
      <c r="A12" s="22" t="inlineStr">
        <is>
          <t>PLOT 4: SCATTER — CHL A vs CHL B</t>
        </is>
      </c>
    </row>
    <row r="13" ht="220" customHeight="1">
      <c r="A13" s="28" t="inlineStr">
        <is>
          <t>WHAT IT SHOWS:
Each leaf plotted as Chl a (x) vs Chl b (y), colored by treatment. Reveals relationships between pigments.
KEY FINDINGS:
• Positive correlation: high Chl a ↔ high Chl b
• Healthy points cluster upper-right (high both)
• Untreated cluster lower-left (low both)
• Bokashi in middle
• a/b ratios stay similar (~0.14) across treatments
WHY USE: Shows treatment effect is on TOTAL photosynthetic capacity, not selective pigment rebalancing. Healthy = more of everything.</t>
        </is>
      </c>
    </row>
    <row r="15">
      <c r="A15" s="22" t="inlineStr">
        <is>
          <t>PLOT 5: STACKED BAR — COMPOSITION</t>
        </is>
      </c>
    </row>
    <row r="16" ht="220" customHeight="1">
      <c r="A16" s="28" t="inlineStr">
        <is>
          <t>WHAT IT SHOWS:
Stacked bars per tree: Chl a (orange) + Chl b (purple). Bar height = total.
KEY FINDINGS:
• T7 Healthy: 1.73 a + 11.58 b = 13.31 total
• T2 Bokashi: 1.62 a + 10.41 b = 12.03 total
• T4 Untreated: 1.35 a + 10.14 b = 11.49 total
• Chl b dominates (80-87%) in all trees
• Pigment ratio maintained across treatments
WHY USE: Shows both absolute amounts AND compositional balance. Visual confirmation that treatments don't disturb pigment ratios.</t>
        </is>
      </c>
    </row>
    <row r="18">
      <c r="A18" s="22" t="inlineStr">
        <is>
          <t>PLOT 6: FACETED COMPARISON</t>
        </is>
      </c>
    </row>
    <row r="19" ht="220" customHeight="1">
      <c r="A19" s="28" t="inlineStr">
        <is>
          <t>WHAT IT SHOWS:
Three side-by-side violin plots: Chl a, Chl b, Total — each by treatment.
FOLD-DIFFERENCES (Healthy ÷ Untreated):
• Chl a: 1.50× (1.73 vs 1.15)
• Chl b: 1.38× (11.58 vs 8.39)
• Total: 1.39× (13.66 vs 9.80)
WHY USE: Shows treatment effect is consistent across all three measures. Comprehensive for technical reports.</t>
        </is>
      </c>
    </row>
    <row r="21">
      <c r="A21" s="22" t="inlineStr">
        <is>
          <t>PLOT 7: HEATMAP</t>
        </is>
      </c>
    </row>
    <row r="22" ht="220" customHeight="1">
      <c r="A22" s="28" t="inlineStr">
        <is>
          <t>WHAT IT SHOWS:
Color-coded grid: trees (columns) × pigment types (rows). Darker red = higher concentration.
KEY FINDINGS:
• T7 column = darkest red across all rows
• T1, T5 columns = lightest red
• Pattern consistent across all three pigments
WHY USE: Instant visual reference. Color makes patterns obvious at a glance — ideal for presentation slides.</t>
        </is>
      </c>
    </row>
    <row r="24">
      <c r="A24" s="22" t="inlineStr">
        <is>
          <t>PLOT 8: PUBLICATION FIGURE — FOUR-PANEL</t>
        </is>
      </c>
    </row>
    <row r="25" ht="220" customHeight="1">
      <c r="A25" s="28" t="inlineStr">
        <is>
          <t>WHAT IT SHOWS:
Combines four best plots:
  A: Violin (distributions)
  B: Bar (means with error bars)
  C: Scatter (pigment relationships)
  D: Box plots (individual trees)
WHY USE: Single publication-ready figure. Tells complete story in one image. Ready for journals/theses/final reports.
SUGGESTED CAPTION:
"Total chlorophyll in Quercus robur leaves by treatment group. (A) Distribution of all 168 measurements. (B) Means ± SD. (C) Chl a vs Chl b relationship. (D) Individual tree variation. Lichtenthaler &amp; Welburn (1983) equations used for 80% acetone extracts.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2026-05-29T14:26:03Z</dcterms:created>
  <dcterms:modified xmlns:dcterms="http://purl.org/dc/terms/" xmlns:xsi="http://www.w3.org/2001/XMLSchema-instance" xsi:type="dcterms:W3CDTF">2026-05-29T14:26:03Z</dcterms:modified>
</cp:coreProperties>
</file>